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Karname Excel Template\Midterm Helli\"/>
    </mc:Choice>
  </mc:AlternateContent>
  <xr:revisionPtr revIDLastSave="0" documentId="13_ncr:1_{3BAE0BF5-C390-4DBA-B30B-EE19BD7E10DD}" xr6:coauthVersionLast="47" xr6:coauthVersionMax="47" xr10:uidLastSave="{00000000-0000-0000-0000-000000000000}"/>
  <bookViews>
    <workbookView xWindow="-120" yWindow="-120" windowWidth="20730" windowHeight="11310" xr2:uid="{9899D7D5-1C1A-4A44-9105-538EF7711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" i="1" l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P34" i="1"/>
  <c r="AS34" i="1" s="1"/>
  <c r="AO34" i="1"/>
  <c r="AR34" i="1" s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4" i="1"/>
  <c r="AJ34" i="1"/>
  <c r="AM34" i="1" s="1"/>
  <c r="AM19" i="1" s="1"/>
  <c r="AI34" i="1"/>
  <c r="AL34" i="1" s="1"/>
  <c r="AL30" i="1" s="1"/>
  <c r="AG24" i="1"/>
  <c r="AG20" i="1"/>
  <c r="AG8" i="1"/>
  <c r="AG4" i="1"/>
  <c r="R34" i="1"/>
  <c r="U34" i="1" s="1"/>
  <c r="U4" i="1" s="1"/>
  <c r="T30" i="1"/>
  <c r="T26" i="1"/>
  <c r="T22" i="1"/>
  <c r="T18" i="1"/>
  <c r="T14" i="1"/>
  <c r="T10" i="1"/>
  <c r="T6" i="1"/>
  <c r="N33" i="1"/>
  <c r="N30" i="1"/>
  <c r="N29" i="1"/>
  <c r="N26" i="1"/>
  <c r="N25" i="1"/>
  <c r="N22" i="1"/>
  <c r="N21" i="1"/>
  <c r="N18" i="1"/>
  <c r="N17" i="1"/>
  <c r="N14" i="1"/>
  <c r="N13" i="1"/>
  <c r="N10" i="1"/>
  <c r="N9" i="1"/>
  <c r="N6" i="1"/>
  <c r="N5" i="1"/>
  <c r="AD34" i="1"/>
  <c r="AG34" i="1" s="1"/>
  <c r="AG31" i="1" s="1"/>
  <c r="AC34" i="1"/>
  <c r="AF34" i="1" s="1"/>
  <c r="AF33" i="1" s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4" i="1"/>
  <c r="X34" i="1"/>
  <c r="AA34" i="1" s="1"/>
  <c r="AA4" i="1" s="1"/>
  <c r="W34" i="1"/>
  <c r="Z34" i="1" s="1"/>
  <c r="Z33" i="1" s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4" i="1"/>
  <c r="Q34" i="1"/>
  <c r="T34" i="1" s="1"/>
  <c r="T4" i="1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4" i="1"/>
  <c r="L34" i="1"/>
  <c r="O34" i="1" s="1"/>
  <c r="O4" i="1" s="1"/>
  <c r="K34" i="1"/>
  <c r="N34" i="1" s="1"/>
  <c r="N4" i="1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5" i="1"/>
  <c r="M6" i="1"/>
  <c r="M7" i="1"/>
  <c r="M8" i="1"/>
  <c r="M9" i="1"/>
  <c r="M10" i="1"/>
  <c r="M11" i="1"/>
  <c r="M4" i="1"/>
  <c r="F34" i="1"/>
  <c r="I34" i="1" s="1"/>
  <c r="E34" i="1"/>
  <c r="H34" i="1" s="1"/>
  <c r="H4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4" i="1"/>
  <c r="AL27" i="1" l="1"/>
  <c r="AL31" i="1"/>
  <c r="AN7" i="1"/>
  <c r="AL11" i="1"/>
  <c r="AU16" i="1"/>
  <c r="AU24" i="1"/>
  <c r="AN10" i="1"/>
  <c r="AL15" i="1"/>
  <c r="AU6" i="1"/>
  <c r="AG12" i="1"/>
  <c r="AG28" i="1"/>
  <c r="AU4" i="1"/>
  <c r="AF18" i="1"/>
  <c r="AG16" i="1"/>
  <c r="AG32" i="1"/>
  <c r="AU12" i="1"/>
  <c r="AU28" i="1"/>
  <c r="AU20" i="1"/>
  <c r="AU32" i="1"/>
  <c r="AU23" i="1"/>
  <c r="AU11" i="1"/>
  <c r="T7" i="1"/>
  <c r="T11" i="1"/>
  <c r="T15" i="1"/>
  <c r="T19" i="1"/>
  <c r="T23" i="1"/>
  <c r="T27" i="1"/>
  <c r="T31" i="1"/>
  <c r="AU31" i="1"/>
  <c r="AU19" i="1"/>
  <c r="T8" i="1"/>
  <c r="T12" i="1"/>
  <c r="T16" i="1"/>
  <c r="T20" i="1"/>
  <c r="T24" i="1"/>
  <c r="T28" i="1"/>
  <c r="T32" i="1"/>
  <c r="AU27" i="1"/>
  <c r="AU15" i="1"/>
  <c r="T5" i="1"/>
  <c r="T9" i="1"/>
  <c r="T13" i="1"/>
  <c r="T17" i="1"/>
  <c r="T21" i="1"/>
  <c r="T25" i="1"/>
  <c r="T29" i="1"/>
  <c r="T33" i="1"/>
  <c r="O16" i="1"/>
  <c r="O28" i="1"/>
  <c r="O13" i="1"/>
  <c r="O21" i="1"/>
  <c r="O29" i="1"/>
  <c r="AU33" i="1"/>
  <c r="AU29" i="1"/>
  <c r="AU25" i="1"/>
  <c r="AU21" i="1"/>
  <c r="AU17" i="1"/>
  <c r="AU13" i="1"/>
  <c r="AU9" i="1"/>
  <c r="AU5" i="1"/>
  <c r="AU8" i="1"/>
  <c r="N7" i="1"/>
  <c r="N11" i="1"/>
  <c r="N15" i="1"/>
  <c r="N19" i="1"/>
  <c r="N23" i="1"/>
  <c r="N27" i="1"/>
  <c r="N31" i="1"/>
  <c r="O6" i="1"/>
  <c r="O10" i="1"/>
  <c r="O14" i="1"/>
  <c r="O18" i="1"/>
  <c r="O22" i="1"/>
  <c r="O26" i="1"/>
  <c r="O30" i="1"/>
  <c r="O8" i="1"/>
  <c r="O12" i="1"/>
  <c r="O20" i="1"/>
  <c r="O24" i="1"/>
  <c r="O32" i="1"/>
  <c r="O5" i="1"/>
  <c r="O9" i="1"/>
  <c r="O17" i="1"/>
  <c r="O25" i="1"/>
  <c r="O33" i="1"/>
  <c r="N8" i="1"/>
  <c r="N12" i="1"/>
  <c r="N16" i="1"/>
  <c r="N20" i="1"/>
  <c r="N24" i="1"/>
  <c r="N28" i="1"/>
  <c r="N32" i="1"/>
  <c r="O7" i="1"/>
  <c r="O11" i="1"/>
  <c r="O15" i="1"/>
  <c r="O19" i="1"/>
  <c r="O23" i="1"/>
  <c r="O27" i="1"/>
  <c r="O31" i="1"/>
  <c r="AU30" i="1"/>
  <c r="AU22" i="1"/>
  <c r="AU14" i="1"/>
  <c r="AU26" i="1"/>
  <c r="AU18" i="1"/>
  <c r="AU10" i="1"/>
  <c r="AU7" i="1"/>
  <c r="AT12" i="1"/>
  <c r="AT5" i="1"/>
  <c r="AT28" i="1"/>
  <c r="AT20" i="1"/>
  <c r="AT27" i="1"/>
  <c r="AT19" i="1"/>
  <c r="AT11" i="1"/>
  <c r="AT32" i="1"/>
  <c r="AT24" i="1"/>
  <c r="AT16" i="1"/>
  <c r="AT8" i="1"/>
  <c r="AT31" i="1"/>
  <c r="AT23" i="1"/>
  <c r="AT15" i="1"/>
  <c r="AT7" i="1"/>
  <c r="AR31" i="1"/>
  <c r="AR27" i="1"/>
  <c r="AR23" i="1"/>
  <c r="AR19" i="1"/>
  <c r="AR15" i="1"/>
  <c r="AR11" i="1"/>
  <c r="AR7" i="1"/>
  <c r="AR33" i="1"/>
  <c r="AR29" i="1"/>
  <c r="AR21" i="1"/>
  <c r="AR13" i="1"/>
  <c r="AR9" i="1"/>
  <c r="AR12" i="1"/>
  <c r="AR30" i="1"/>
  <c r="AR26" i="1"/>
  <c r="AR22" i="1"/>
  <c r="AR18" i="1"/>
  <c r="AR14" i="1"/>
  <c r="AR10" i="1"/>
  <c r="AR6" i="1"/>
  <c r="AR25" i="1"/>
  <c r="AR17" i="1"/>
  <c r="AR5" i="1"/>
  <c r="AR32" i="1"/>
  <c r="AR28" i="1"/>
  <c r="AR24" i="1"/>
  <c r="AR20" i="1"/>
  <c r="AR16" i="1"/>
  <c r="AR8" i="1"/>
  <c r="AR4" i="1"/>
  <c r="AT4" i="1"/>
  <c r="AT30" i="1"/>
  <c r="AT26" i="1"/>
  <c r="AT22" i="1"/>
  <c r="AT18" i="1"/>
  <c r="AT14" i="1"/>
  <c r="AT10" i="1"/>
  <c r="AT6" i="1"/>
  <c r="AT33" i="1"/>
  <c r="AT29" i="1"/>
  <c r="AT25" i="1"/>
  <c r="AT21" i="1"/>
  <c r="AT17" i="1"/>
  <c r="AT13" i="1"/>
  <c r="AT9" i="1"/>
  <c r="AN26" i="1"/>
  <c r="AL19" i="1"/>
  <c r="AL7" i="1"/>
  <c r="AL23" i="1"/>
  <c r="AM10" i="1"/>
  <c r="AN22" i="1"/>
  <c r="AN6" i="1"/>
  <c r="AM18" i="1"/>
  <c r="AN4" i="1"/>
  <c r="AN18" i="1"/>
  <c r="AM27" i="1"/>
  <c r="AN30" i="1"/>
  <c r="AN14" i="1"/>
  <c r="AL4" i="1"/>
  <c r="AL8" i="1"/>
  <c r="AL12" i="1"/>
  <c r="AL16" i="1"/>
  <c r="AL20" i="1"/>
  <c r="AL24" i="1"/>
  <c r="AL28" i="1"/>
  <c r="AL32" i="1"/>
  <c r="AN33" i="1"/>
  <c r="AN29" i="1"/>
  <c r="AN25" i="1"/>
  <c r="AN21" i="1"/>
  <c r="AN17" i="1"/>
  <c r="AN13" i="1"/>
  <c r="AN9" i="1"/>
  <c r="AN5" i="1"/>
  <c r="AL5" i="1"/>
  <c r="AL9" i="1"/>
  <c r="AL13" i="1"/>
  <c r="AL17" i="1"/>
  <c r="AL21" i="1"/>
  <c r="AL25" i="1"/>
  <c r="AL29" i="1"/>
  <c r="AL33" i="1"/>
  <c r="AN32" i="1"/>
  <c r="AN28" i="1"/>
  <c r="AN24" i="1"/>
  <c r="AN20" i="1"/>
  <c r="AN16" i="1"/>
  <c r="AN12" i="1"/>
  <c r="AN8" i="1"/>
  <c r="AL6" i="1"/>
  <c r="AL10" i="1"/>
  <c r="AL14" i="1"/>
  <c r="AL18" i="1"/>
  <c r="AL22" i="1"/>
  <c r="AL26" i="1"/>
  <c r="AN31" i="1"/>
  <c r="AN27" i="1"/>
  <c r="AN23" i="1"/>
  <c r="AN19" i="1"/>
  <c r="AN15" i="1"/>
  <c r="AN11" i="1"/>
  <c r="AS31" i="1"/>
  <c r="AS29" i="1"/>
  <c r="AS25" i="1"/>
  <c r="AS21" i="1"/>
  <c r="AS17" i="1"/>
  <c r="AS13" i="1"/>
  <c r="AS9" i="1"/>
  <c r="AS5" i="1"/>
  <c r="AS27" i="1"/>
  <c r="AS26" i="1"/>
  <c r="AS10" i="1"/>
  <c r="AS33" i="1"/>
  <c r="AS28" i="1"/>
  <c r="AS24" i="1"/>
  <c r="AS20" i="1"/>
  <c r="AS16" i="1"/>
  <c r="AS12" i="1"/>
  <c r="AS8" i="1"/>
  <c r="AS4" i="1"/>
  <c r="AS32" i="1"/>
  <c r="AS23" i="1"/>
  <c r="AS19" i="1"/>
  <c r="AS15" i="1"/>
  <c r="AS11" i="1"/>
  <c r="AS7" i="1"/>
  <c r="AS30" i="1"/>
  <c r="AS22" i="1"/>
  <c r="AS18" i="1"/>
  <c r="AS14" i="1"/>
  <c r="AS6" i="1"/>
  <c r="AM11" i="1"/>
  <c r="AM20" i="1"/>
  <c r="AM28" i="1"/>
  <c r="AM6" i="1"/>
  <c r="AM14" i="1"/>
  <c r="AM23" i="1"/>
  <c r="AM31" i="1"/>
  <c r="AM7" i="1"/>
  <c r="AM15" i="1"/>
  <c r="AM24" i="1"/>
  <c r="AM32" i="1"/>
  <c r="AM4" i="1"/>
  <c r="AM8" i="1"/>
  <c r="AM12" i="1"/>
  <c r="AM16" i="1"/>
  <c r="AM21" i="1"/>
  <c r="AM25" i="1"/>
  <c r="AM29" i="1"/>
  <c r="AM33" i="1"/>
  <c r="AM5" i="1"/>
  <c r="AM9" i="1"/>
  <c r="AM13" i="1"/>
  <c r="AM17" i="1"/>
  <c r="AM22" i="1"/>
  <c r="AM26" i="1"/>
  <c r="AM30" i="1"/>
  <c r="AG5" i="1"/>
  <c r="AG9" i="1"/>
  <c r="AG13" i="1"/>
  <c r="AG17" i="1"/>
  <c r="AG21" i="1"/>
  <c r="AG25" i="1"/>
  <c r="AG29" i="1"/>
  <c r="AG33" i="1"/>
  <c r="AG6" i="1"/>
  <c r="AG10" i="1"/>
  <c r="AG14" i="1"/>
  <c r="AG18" i="1"/>
  <c r="AG22" i="1"/>
  <c r="AG26" i="1"/>
  <c r="AG30" i="1"/>
  <c r="AG7" i="1"/>
  <c r="AG11" i="1"/>
  <c r="AG15" i="1"/>
  <c r="AG19" i="1"/>
  <c r="AG23" i="1"/>
  <c r="AG27" i="1"/>
  <c r="AF19" i="1"/>
  <c r="AF10" i="1"/>
  <c r="AF26" i="1"/>
  <c r="AF11" i="1"/>
  <c r="AF27" i="1"/>
  <c r="AF6" i="1"/>
  <c r="AF14" i="1"/>
  <c r="AF22" i="1"/>
  <c r="AF30" i="1"/>
  <c r="AF7" i="1"/>
  <c r="AF15" i="1"/>
  <c r="AF23" i="1"/>
  <c r="AF31" i="1"/>
  <c r="AF4" i="1"/>
  <c r="AF8" i="1"/>
  <c r="AF12" i="1"/>
  <c r="AF16" i="1"/>
  <c r="AF20" i="1"/>
  <c r="AF24" i="1"/>
  <c r="AF28" i="1"/>
  <c r="AF32" i="1"/>
  <c r="AF5" i="1"/>
  <c r="AF9" i="1"/>
  <c r="AF13" i="1"/>
  <c r="AF17" i="1"/>
  <c r="AF21" i="1"/>
  <c r="AF25" i="1"/>
  <c r="AF29" i="1"/>
  <c r="Z18" i="1"/>
  <c r="Z19" i="1"/>
  <c r="Z10" i="1"/>
  <c r="Z26" i="1"/>
  <c r="Z11" i="1"/>
  <c r="Z27" i="1"/>
  <c r="AA10" i="1"/>
  <c r="AA18" i="1"/>
  <c r="AA26" i="1"/>
  <c r="AA11" i="1"/>
  <c r="AA19" i="1"/>
  <c r="AA27" i="1"/>
  <c r="AA6" i="1"/>
  <c r="AA14" i="1"/>
  <c r="AA22" i="1"/>
  <c r="AA30" i="1"/>
  <c r="AA7" i="1"/>
  <c r="AA15" i="1"/>
  <c r="AA23" i="1"/>
  <c r="AA31" i="1"/>
  <c r="AA8" i="1"/>
  <c r="AA12" i="1"/>
  <c r="AA16" i="1"/>
  <c r="AA20" i="1"/>
  <c r="AA24" i="1"/>
  <c r="AA28" i="1"/>
  <c r="AA32" i="1"/>
  <c r="AA5" i="1"/>
  <c r="AA9" i="1"/>
  <c r="AA13" i="1"/>
  <c r="AA17" i="1"/>
  <c r="AA21" i="1"/>
  <c r="AA25" i="1"/>
  <c r="AA29" i="1"/>
  <c r="AA33" i="1"/>
  <c r="Z6" i="1"/>
  <c r="Z14" i="1"/>
  <c r="Z22" i="1"/>
  <c r="Z30" i="1"/>
  <c r="Z7" i="1"/>
  <c r="Z15" i="1"/>
  <c r="Z23" i="1"/>
  <c r="Z31" i="1"/>
  <c r="Z4" i="1"/>
  <c r="Z8" i="1"/>
  <c r="Z12" i="1"/>
  <c r="Z16" i="1"/>
  <c r="Z20" i="1"/>
  <c r="Z24" i="1"/>
  <c r="Z28" i="1"/>
  <c r="Z32" i="1"/>
  <c r="Z5" i="1"/>
  <c r="Z9" i="1"/>
  <c r="Z13" i="1"/>
  <c r="Z17" i="1"/>
  <c r="Z21" i="1"/>
  <c r="Z25" i="1"/>
  <c r="Z29" i="1"/>
  <c r="U15" i="1"/>
  <c r="U31" i="1"/>
  <c r="U8" i="1"/>
  <c r="U12" i="1"/>
  <c r="U16" i="1"/>
  <c r="U20" i="1"/>
  <c r="U24" i="1"/>
  <c r="U28" i="1"/>
  <c r="U32" i="1"/>
  <c r="U23" i="1"/>
  <c r="U5" i="1"/>
  <c r="U9" i="1"/>
  <c r="U13" i="1"/>
  <c r="U17" i="1"/>
  <c r="U21" i="1"/>
  <c r="U25" i="1"/>
  <c r="U29" i="1"/>
  <c r="U33" i="1"/>
  <c r="U7" i="1"/>
  <c r="U11" i="1"/>
  <c r="U19" i="1"/>
  <c r="U27" i="1"/>
  <c r="U6" i="1"/>
  <c r="U10" i="1"/>
  <c r="U14" i="1"/>
  <c r="U18" i="1"/>
  <c r="U22" i="1"/>
  <c r="U26" i="1"/>
  <c r="U30" i="1"/>
  <c r="V5" i="1"/>
  <c r="H32" i="1"/>
  <c r="H28" i="1"/>
  <c r="H20" i="1"/>
  <c r="H8" i="1"/>
  <c r="H31" i="1"/>
  <c r="H27" i="1"/>
  <c r="H23" i="1"/>
  <c r="H19" i="1"/>
  <c r="H15" i="1"/>
  <c r="H11" i="1"/>
  <c r="H7" i="1"/>
  <c r="H24" i="1"/>
  <c r="H12" i="1"/>
  <c r="H30" i="1"/>
  <c r="H26" i="1"/>
  <c r="H22" i="1"/>
  <c r="H18" i="1"/>
  <c r="H14" i="1"/>
  <c r="H10" i="1"/>
  <c r="H6" i="1"/>
  <c r="H16" i="1"/>
  <c r="P20" i="1"/>
  <c r="H33" i="1"/>
  <c r="H29" i="1"/>
  <c r="H25" i="1"/>
  <c r="H21" i="1"/>
  <c r="H17" i="1"/>
  <c r="H13" i="1"/>
  <c r="H9" i="1"/>
  <c r="H5" i="1"/>
  <c r="I30" i="1"/>
  <c r="I33" i="1"/>
  <c r="I32" i="1"/>
  <c r="I28" i="1"/>
  <c r="I24" i="1"/>
  <c r="I20" i="1"/>
  <c r="I16" i="1"/>
  <c r="I12" i="1"/>
  <c r="I8" i="1"/>
  <c r="I5" i="1"/>
  <c r="I10" i="1"/>
  <c r="I25" i="1"/>
  <c r="I17" i="1"/>
  <c r="I9" i="1"/>
  <c r="I31" i="1"/>
  <c r="I27" i="1"/>
  <c r="I23" i="1"/>
  <c r="I19" i="1"/>
  <c r="I15" i="1"/>
  <c r="I11" i="1"/>
  <c r="I4" i="1"/>
  <c r="I26" i="1"/>
  <c r="I22" i="1"/>
  <c r="I18" i="1"/>
  <c r="I14" i="1"/>
  <c r="I7" i="1"/>
  <c r="I29" i="1"/>
  <c r="I21" i="1"/>
  <c r="I13" i="1"/>
  <c r="I6" i="1"/>
  <c r="AH5" i="1"/>
  <c r="AB7" i="1"/>
  <c r="AB28" i="1"/>
  <c r="AB20" i="1"/>
  <c r="AB12" i="1"/>
  <c r="AB27" i="1"/>
  <c r="AB19" i="1"/>
  <c r="AB11" i="1"/>
  <c r="AB5" i="1"/>
  <c r="AB32" i="1"/>
  <c r="AB24" i="1"/>
  <c r="AB16" i="1"/>
  <c r="AB8" i="1"/>
  <c r="AB31" i="1"/>
  <c r="AB23" i="1"/>
  <c r="AB15" i="1"/>
  <c r="AB4" i="1"/>
  <c r="AB30" i="1"/>
  <c r="AB26" i="1"/>
  <c r="AB22" i="1"/>
  <c r="AB18" i="1"/>
  <c r="AB14" i="1"/>
  <c r="AB10" i="1"/>
  <c r="AB6" i="1"/>
  <c r="AB33" i="1"/>
  <c r="AB29" i="1"/>
  <c r="AB25" i="1"/>
  <c r="AB21" i="1"/>
  <c r="AB17" i="1"/>
  <c r="AB13" i="1"/>
  <c r="AB9" i="1"/>
  <c r="V28" i="1"/>
  <c r="V20" i="1"/>
  <c r="V8" i="1"/>
  <c r="V31" i="1"/>
  <c r="V27" i="1"/>
  <c r="V23" i="1"/>
  <c r="V19" i="1"/>
  <c r="V15" i="1"/>
  <c r="V11" i="1"/>
  <c r="V7" i="1"/>
  <c r="V16" i="1"/>
  <c r="V4" i="1"/>
  <c r="V30" i="1"/>
  <c r="V26" i="1"/>
  <c r="V22" i="1"/>
  <c r="V18" i="1"/>
  <c r="V14" i="1"/>
  <c r="V10" i="1"/>
  <c r="V6" i="1"/>
  <c r="V32" i="1"/>
  <c r="V24" i="1"/>
  <c r="V12" i="1"/>
  <c r="V33" i="1"/>
  <c r="V29" i="1"/>
  <c r="V25" i="1"/>
  <c r="V21" i="1"/>
  <c r="V17" i="1"/>
  <c r="V13" i="1"/>
  <c r="V9" i="1"/>
  <c r="P16" i="1"/>
  <c r="P28" i="1"/>
  <c r="P24" i="1"/>
  <c r="P5" i="1"/>
  <c r="P32" i="1"/>
  <c r="P12" i="1"/>
  <c r="P8" i="1"/>
  <c r="P31" i="1"/>
  <c r="P27" i="1"/>
  <c r="P23" i="1"/>
  <c r="P19" i="1"/>
  <c r="P15" i="1"/>
  <c r="P11" i="1"/>
  <c r="P7" i="1"/>
  <c r="P4" i="1"/>
  <c r="P30" i="1"/>
  <c r="P26" i="1"/>
  <c r="P22" i="1"/>
  <c r="P18" i="1"/>
  <c r="P14" i="1"/>
  <c r="P10" i="1"/>
  <c r="P6" i="1"/>
  <c r="P33" i="1"/>
  <c r="P29" i="1"/>
  <c r="P25" i="1"/>
  <c r="P21" i="1"/>
  <c r="P17" i="1"/>
  <c r="P13" i="1"/>
  <c r="P9" i="1"/>
  <c r="J7" i="1"/>
  <c r="J6" i="1"/>
  <c r="J21" i="1"/>
  <c r="J32" i="1"/>
  <c r="J28" i="1"/>
  <c r="J24" i="1"/>
  <c r="J20" i="1"/>
  <c r="J16" i="1"/>
  <c r="J12" i="1"/>
  <c r="J8" i="1"/>
  <c r="J33" i="1"/>
  <c r="J29" i="1"/>
  <c r="J25" i="1"/>
  <c r="J17" i="1"/>
  <c r="J13" i="1"/>
  <c r="J9" i="1"/>
  <c r="J5" i="1"/>
  <c r="J31" i="1"/>
  <c r="J27" i="1"/>
  <c r="J23" i="1"/>
  <c r="J19" i="1"/>
  <c r="J15" i="1"/>
  <c r="J11" i="1"/>
  <c r="J4" i="1"/>
  <c r="J30" i="1"/>
  <c r="J26" i="1"/>
  <c r="J22" i="1"/>
  <c r="J18" i="1"/>
  <c r="J14" i="1"/>
  <c r="J10" i="1"/>
  <c r="AH32" i="1"/>
  <c r="AH28" i="1"/>
  <c r="AH20" i="1"/>
  <c r="AH16" i="1"/>
  <c r="AH12" i="1"/>
  <c r="AH8" i="1"/>
  <c r="AH31" i="1"/>
  <c r="AH27" i="1"/>
  <c r="AH23" i="1"/>
  <c r="AH19" i="1"/>
  <c r="AH15" i="1"/>
  <c r="AH11" i="1"/>
  <c r="AH7" i="1"/>
  <c r="AH4" i="1"/>
  <c r="AH30" i="1"/>
  <c r="AH26" i="1"/>
  <c r="AH22" i="1"/>
  <c r="AH18" i="1"/>
  <c r="AH14" i="1"/>
  <c r="AH10" i="1"/>
  <c r="AH6" i="1"/>
  <c r="AH24" i="1"/>
  <c r="AH33" i="1"/>
  <c r="AH29" i="1"/>
  <c r="AH25" i="1"/>
  <c r="AH21" i="1"/>
  <c r="AH17" i="1"/>
  <c r="AH13" i="1"/>
  <c r="AH9" i="1"/>
  <c r="AV5" i="1" l="1"/>
  <c r="AV7" i="1"/>
  <c r="AV11" i="1"/>
  <c r="AV15" i="1"/>
  <c r="AV19" i="1"/>
  <c r="AV23" i="1"/>
  <c r="AV27" i="1"/>
  <c r="AV31" i="1"/>
  <c r="AV20" i="1"/>
  <c r="AV24" i="1"/>
  <c r="AV28" i="1"/>
  <c r="AV10" i="1"/>
  <c r="AV22" i="1"/>
  <c r="AV4" i="1"/>
  <c r="AV8" i="1"/>
  <c r="AV12" i="1"/>
  <c r="AV16" i="1"/>
  <c r="AV32" i="1"/>
  <c r="AV6" i="1"/>
  <c r="AV18" i="1"/>
  <c r="AV30" i="1"/>
  <c r="AV9" i="1"/>
  <c r="AV13" i="1"/>
  <c r="AV17" i="1"/>
  <c r="AV21" i="1"/>
  <c r="AV25" i="1"/>
  <c r="AV29" i="1"/>
  <c r="AV33" i="1"/>
  <c r="AV14" i="1"/>
  <c r="AV26" i="1"/>
</calcChain>
</file>

<file path=xl/sharedStrings.xml><?xml version="1.0" encoding="utf-8"?>
<sst xmlns="http://schemas.openxmlformats.org/spreadsheetml/2006/main" count="56" uniqueCount="20">
  <si>
    <t>ردیف</t>
  </si>
  <si>
    <t>نام و نام خانوادگی</t>
  </si>
  <si>
    <t>مستمر</t>
  </si>
  <si>
    <t>برگه</t>
  </si>
  <si>
    <t>مانیگین مستمر</t>
  </si>
  <si>
    <t>کل</t>
  </si>
  <si>
    <t>میانگین برگه</t>
  </si>
  <si>
    <t>رتبه(کل)</t>
  </si>
  <si>
    <t>کلاس</t>
  </si>
  <si>
    <t xml:space="preserve">حسابان </t>
  </si>
  <si>
    <t>فیزیک</t>
  </si>
  <si>
    <t>شیمی</t>
  </si>
  <si>
    <t>هندسه</t>
  </si>
  <si>
    <t>آمار</t>
  </si>
  <si>
    <t>مجموع</t>
  </si>
  <si>
    <t>معدل</t>
  </si>
  <si>
    <t>رتبه</t>
  </si>
  <si>
    <t>درس</t>
  </si>
  <si>
    <t>عربی</t>
  </si>
  <si>
    <t>فارسی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</si>
</sst>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2"/>
      <color theme="0"/>
      <name val="B Nazanin"/>
      <charset val="178"/>
    </font>
    <font>
      <b/>
      <sz val="16"/>
      <color theme="0"/>
      <name val="B Nazanin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sz val="14"/>
      <name val="B Nazanin"/>
      <charset val="178"/>
    </font>
    <font>
      <b/>
      <sz val="20"/>
      <color theme="0"/>
      <name val="B Nazanin"/>
      <charset val="178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CC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FDBD-1AA2-4544-9417-96D660B7BC79}">
  <dimension ref="A1:AV35"/>
  <sheetViews>
    <sheetView rightToLeft="1" tabSelected="1" zoomScale="40" zoomScaleNormal="40" workbookViewId="0">
      <selection activeCell="B12" sqref="B12:C12"/>
    </sheetView>
  </sheetViews>
  <sheetFormatPr defaultRowHeight="18" x14ac:dyDescent="0.25"/>
  <cols>
    <col min="1" max="2" width="9.140625" style="1"/>
    <col min="3" max="3" width="15.28515625" style="1" customWidth="1"/>
    <col min="4" max="33" width="9.140625" style="1"/>
    <col min="34" max="34" width="9.140625" style="1" customWidth="1"/>
    <col min="35" max="36" width="9.140625" style="1"/>
    <col min="37" max="37" width="9.7109375" style="1" customWidth="1"/>
    <col min="38" max="16384" width="9.140625" style="1"/>
  </cols>
  <sheetData>
    <row r="1" spans="1:48" ht="21" customHeight="1" x14ac:dyDescent="0.25">
      <c r="A1" s="3" t="s">
        <v>0</v>
      </c>
      <c r="B1" s="3" t="s">
        <v>1</v>
      </c>
      <c r="C1" s="3"/>
      <c r="D1" s="3" t="s">
        <v>8</v>
      </c>
      <c r="E1" s="21" t="s">
        <v>9</v>
      </c>
      <c r="F1" s="21"/>
      <c r="G1" s="21"/>
      <c r="H1" s="21"/>
      <c r="I1" s="21"/>
      <c r="J1" s="21"/>
      <c r="K1" s="22" t="s">
        <v>10</v>
      </c>
      <c r="L1" s="22"/>
      <c r="M1" s="22"/>
      <c r="N1" s="22"/>
      <c r="O1" s="22"/>
      <c r="P1" s="22"/>
      <c r="Q1" s="23" t="s">
        <v>11</v>
      </c>
      <c r="R1" s="23"/>
      <c r="S1" s="23"/>
      <c r="T1" s="23"/>
      <c r="U1" s="23"/>
      <c r="V1" s="23"/>
      <c r="W1" s="24" t="s">
        <v>12</v>
      </c>
      <c r="X1" s="24"/>
      <c r="Y1" s="24"/>
      <c r="Z1" s="24"/>
      <c r="AA1" s="24"/>
      <c r="AB1" s="24"/>
      <c r="AC1" s="25" t="s">
        <v>13</v>
      </c>
      <c r="AD1" s="25"/>
      <c r="AE1" s="25"/>
      <c r="AF1" s="25"/>
      <c r="AG1" s="25"/>
      <c r="AH1" s="25"/>
      <c r="AI1" s="24" t="s">
        <v>18</v>
      </c>
      <c r="AJ1" s="24"/>
      <c r="AK1" s="24"/>
      <c r="AL1" s="24"/>
      <c r="AM1" s="24"/>
      <c r="AN1" s="24"/>
      <c r="AO1" s="21" t="s">
        <v>19</v>
      </c>
      <c r="AP1" s="21"/>
      <c r="AQ1" s="21"/>
      <c r="AR1" s="21"/>
      <c r="AS1" s="21"/>
      <c r="AT1" s="21"/>
      <c r="AU1" s="26" t="s">
        <v>15</v>
      </c>
      <c r="AV1" s="26" t="s">
        <v>16</v>
      </c>
    </row>
    <row r="2" spans="1:48" ht="18" customHeight="1" x14ac:dyDescent="0.25">
      <c r="A2" s="3"/>
      <c r="B2" s="3"/>
      <c r="C2" s="3"/>
      <c r="D2" s="3"/>
      <c r="E2" s="4" t="s">
        <v>2</v>
      </c>
      <c r="F2" s="4" t="s">
        <v>3</v>
      </c>
      <c r="G2" s="4" t="s">
        <v>5</v>
      </c>
      <c r="H2" s="4" t="s">
        <v>4</v>
      </c>
      <c r="I2" s="4" t="s">
        <v>6</v>
      </c>
      <c r="J2" s="4" t="s">
        <v>7</v>
      </c>
      <c r="K2" s="6" t="s">
        <v>2</v>
      </c>
      <c r="L2" s="6" t="s">
        <v>3</v>
      </c>
      <c r="M2" s="6" t="s">
        <v>5</v>
      </c>
      <c r="N2" s="6" t="s">
        <v>4</v>
      </c>
      <c r="O2" s="6" t="s">
        <v>6</v>
      </c>
      <c r="P2" s="6" t="s">
        <v>7</v>
      </c>
      <c r="Q2" s="5" t="s">
        <v>2</v>
      </c>
      <c r="R2" s="5" t="s">
        <v>3</v>
      </c>
      <c r="S2" s="5" t="s">
        <v>5</v>
      </c>
      <c r="T2" s="5" t="s">
        <v>4</v>
      </c>
      <c r="U2" s="5" t="s">
        <v>6</v>
      </c>
      <c r="V2" s="5" t="s">
        <v>7</v>
      </c>
      <c r="W2" s="7" t="s">
        <v>2</v>
      </c>
      <c r="X2" s="7" t="s">
        <v>3</v>
      </c>
      <c r="Y2" s="7" t="s">
        <v>5</v>
      </c>
      <c r="Z2" s="7" t="s">
        <v>4</v>
      </c>
      <c r="AA2" s="7" t="s">
        <v>6</v>
      </c>
      <c r="AB2" s="7" t="s">
        <v>7</v>
      </c>
      <c r="AC2" s="8" t="s">
        <v>2</v>
      </c>
      <c r="AD2" s="8" t="s">
        <v>3</v>
      </c>
      <c r="AE2" s="8" t="s">
        <v>5</v>
      </c>
      <c r="AF2" s="8" t="s">
        <v>4</v>
      </c>
      <c r="AG2" s="8" t="s">
        <v>6</v>
      </c>
      <c r="AH2" s="8" t="s">
        <v>7</v>
      </c>
      <c r="AI2" s="7" t="s">
        <v>2</v>
      </c>
      <c r="AJ2" s="7" t="s">
        <v>3</v>
      </c>
      <c r="AK2" s="7" t="s">
        <v>5</v>
      </c>
      <c r="AL2" s="7" t="s">
        <v>4</v>
      </c>
      <c r="AM2" s="7" t="s">
        <v>6</v>
      </c>
      <c r="AN2" s="7" t="s">
        <v>7</v>
      </c>
      <c r="AO2" s="4" t="s">
        <v>2</v>
      </c>
      <c r="AP2" s="4" t="s">
        <v>3</v>
      </c>
      <c r="AQ2" s="4" t="s">
        <v>5</v>
      </c>
      <c r="AR2" s="4" t="s">
        <v>4</v>
      </c>
      <c r="AS2" s="4" t="s">
        <v>6</v>
      </c>
      <c r="AT2" s="4" t="s">
        <v>7</v>
      </c>
      <c r="AU2" s="26"/>
      <c r="AV2" s="26"/>
    </row>
    <row r="3" spans="1:48" ht="18" customHeight="1" x14ac:dyDescent="0.25">
      <c r="A3" s="3"/>
      <c r="B3" s="3"/>
      <c r="C3" s="3"/>
      <c r="D3" s="3"/>
      <c r="E3" s="4"/>
      <c r="F3" s="4"/>
      <c r="G3" s="4"/>
      <c r="H3" s="4"/>
      <c r="I3" s="4"/>
      <c r="J3" s="4"/>
      <c r="K3" s="6"/>
      <c r="L3" s="6"/>
      <c r="M3" s="6"/>
      <c r="N3" s="6"/>
      <c r="O3" s="6"/>
      <c r="P3" s="6"/>
      <c r="Q3" s="5"/>
      <c r="R3" s="5"/>
      <c r="S3" s="5"/>
      <c r="T3" s="5"/>
      <c r="U3" s="5"/>
      <c r="V3" s="5"/>
      <c r="W3" s="7"/>
      <c r="X3" s="7"/>
      <c r="Y3" s="7"/>
      <c r="Z3" s="7"/>
      <c r="AA3" s="7"/>
      <c r="AB3" s="7"/>
      <c r="AC3" s="8"/>
      <c r="AD3" s="8"/>
      <c r="AE3" s="8"/>
      <c r="AF3" s="8"/>
      <c r="AG3" s="8"/>
      <c r="AH3" s="8"/>
      <c r="AI3" s="7"/>
      <c r="AJ3" s="7"/>
      <c r="AK3" s="7"/>
      <c r="AL3" s="7"/>
      <c r="AM3" s="7"/>
      <c r="AN3" s="7"/>
      <c r="AO3" s="4"/>
      <c r="AP3" s="4"/>
      <c r="AQ3" s="4"/>
      <c r="AR3" s="4"/>
      <c r="AS3" s="4"/>
      <c r="AT3" s="4"/>
      <c r="AU3" s="26"/>
      <c r="AV3" s="26"/>
    </row>
    <row r="4" spans="1:48" ht="21" customHeight="1" x14ac:dyDescent="0.25">
      <c r="A4" s="2">
        <v>1</v>
      </c>
      <c r="B4" s="27"/>
      <c r="C4" s="27"/>
      <c r="D4" s="20"/>
      <c r="E4" s="12"/>
      <c r="F4" s="12"/>
      <c r="G4" s="12">
        <f>(F4+E4)/2</f>
        <v>0</v>
      </c>
      <c r="H4" s="13">
        <f>MROUND(H34,0.25)</f>
        <v>0</v>
      </c>
      <c r="I4" s="12">
        <f>MROUND(I34,0.25)</f>
        <v>0</v>
      </c>
      <c r="J4" s="12">
        <f>RANK(G4, $G$4:$G$33) + COUNTIF($G$4:G4, G4) - 1</f>
        <v>1</v>
      </c>
      <c r="K4" s="14"/>
      <c r="L4" s="14"/>
      <c r="M4" s="14">
        <f>(L4+K4)/2</f>
        <v>0</v>
      </c>
      <c r="N4" s="14">
        <f>MROUND(N34,0.25)</f>
        <v>0</v>
      </c>
      <c r="O4" s="14">
        <f>MROUND(O34,0.25)</f>
        <v>0</v>
      </c>
      <c r="P4" s="14">
        <f>RANK(M4, $M$4:$M$33) + COUNTIF($M$4:M4, M4) - 1</f>
        <v>1</v>
      </c>
      <c r="Q4" s="15"/>
      <c r="R4" s="15"/>
      <c r="S4" s="15">
        <f>(Q4+R4)/2</f>
        <v>0</v>
      </c>
      <c r="T4" s="15">
        <f>MROUND(T34,0.25)</f>
        <v>0</v>
      </c>
      <c r="U4" s="15">
        <f>MROUND(U34,0.25)</f>
        <v>0</v>
      </c>
      <c r="V4" s="15">
        <f>RANK(S4, $S$4:$S$33) + COUNTIF($S$4:S4, S4) - 1</f>
        <v>1</v>
      </c>
      <c r="W4" s="16"/>
      <c r="X4" s="16"/>
      <c r="Y4" s="16">
        <f>(W4+X4)/2</f>
        <v>0</v>
      </c>
      <c r="Z4" s="16">
        <f>MROUND(Z34,0.25)</f>
        <v>0</v>
      </c>
      <c r="AA4" s="16">
        <f>MROUND(AA34,0.25)</f>
        <v>0</v>
      </c>
      <c r="AB4" s="16">
        <f>RANK(Y4, $Y$4:$Y$33) + COUNTIF($Y$4:Y4, Y4) - 1</f>
        <v>1</v>
      </c>
      <c r="AC4" s="17"/>
      <c r="AD4" s="17"/>
      <c r="AE4" s="17">
        <f>(AC4+AD4)/2</f>
        <v>0</v>
      </c>
      <c r="AF4" s="17">
        <f>MROUND(AF34,0.25)</f>
        <v>0</v>
      </c>
      <c r="AG4" s="17">
        <f>MROUND(AG34,0.25)</f>
        <v>0</v>
      </c>
      <c r="AH4" s="17">
        <f>RANK(AE4, $AE$4:$AE$33) + COUNTIF($AE$4:AE4, AE4) - 1</f>
        <v>1</v>
      </c>
      <c r="AI4" s="16"/>
      <c r="AJ4" s="16"/>
      <c r="AK4" s="18">
        <f>(AI4+AJ4)/2</f>
        <v>0</v>
      </c>
      <c r="AL4" s="16">
        <f>MROUND(AL34,0.25)</f>
        <v>0</v>
      </c>
      <c r="AM4" s="16">
        <f>MROUND(AM34,0.25)</f>
        <v>0</v>
      </c>
      <c r="AN4" s="16">
        <f>RANK(AK4, $AK$4:$AK$33) + COUNTIF($AK$4:AK4, AK4) - 1</f>
        <v>1</v>
      </c>
      <c r="AO4" s="12"/>
      <c r="AP4" s="12"/>
      <c r="AQ4" s="12">
        <f>(AP4+AO4)/2</f>
        <v>0</v>
      </c>
      <c r="AR4" s="12">
        <f>MROUND(AR34,0.25)</f>
        <v>0</v>
      </c>
      <c r="AS4" s="12">
        <f>MROUND(AS34,0.25)</f>
        <v>0</v>
      </c>
      <c r="AT4" s="12">
        <f>RANK(AQ4, $AQ$4:$AQ$33) + COUNTIF($AQ$4:AQ4, AQ4) - 1</f>
        <v>1</v>
      </c>
      <c r="AU4" s="19">
        <f>ROUND(((G4+M4+S4+Y4+AE4+AK4+AQ4)/B35),2)</f>
        <v>0</v>
      </c>
      <c r="AV4" s="20">
        <f>RANK(AU4, $AU$4:$AU$33) + COUNTIF($AU$4:AU4, AU4) - 1</f>
        <v>1</v>
      </c>
    </row>
    <row r="5" spans="1:48" ht="21" customHeight="1" x14ac:dyDescent="0.25">
      <c r="A5" s="2">
        <v>2</v>
      </c>
      <c r="B5" s="27"/>
      <c r="C5" s="27"/>
      <c r="D5" s="20"/>
      <c r="E5" s="12"/>
      <c r="F5" s="12"/>
      <c r="G5" s="12">
        <f t="shared" ref="G5:G33" si="0">(F5+E5)/2</f>
        <v>0</v>
      </c>
      <c r="H5" s="13">
        <f>MROUND(H34,0.25)</f>
        <v>0</v>
      </c>
      <c r="I5" s="12">
        <f>MROUND(I34,0.25)</f>
        <v>0</v>
      </c>
      <c r="J5" s="12">
        <f>RANK(G5, $G$4:$G$33) + COUNTIF($G$4:G5, G5) - 1</f>
        <v>2</v>
      </c>
      <c r="K5" s="14"/>
      <c r="L5" s="14"/>
      <c r="M5" s="14">
        <f t="shared" ref="M5:M33" si="1">(L5+K5)/2</f>
        <v>0</v>
      </c>
      <c r="N5" s="14">
        <f>MROUND(N34,0.25)</f>
        <v>0</v>
      </c>
      <c r="O5" s="14">
        <f>MROUND(O34,0.25)</f>
        <v>0</v>
      </c>
      <c r="P5" s="14">
        <f>RANK(M5, $M$4:$M$33) + COUNTIF($M$4:M5, M5) - 1</f>
        <v>2</v>
      </c>
      <c r="Q5" s="15"/>
      <c r="R5" s="15"/>
      <c r="S5" s="15">
        <f t="shared" ref="S5:S33" si="2">(Q5+R5)/2</f>
        <v>0</v>
      </c>
      <c r="T5" s="15">
        <f>MROUND(T34,0.25)</f>
        <v>0</v>
      </c>
      <c r="U5" s="15">
        <f>MROUND(U34,0.25)</f>
        <v>0</v>
      </c>
      <c r="V5" s="15">
        <f>RANK(S5, $S$4:$S$33) + COUNTIF($S$4:S5, S5) - 1</f>
        <v>2</v>
      </c>
      <c r="W5" s="16"/>
      <c r="X5" s="16"/>
      <c r="Y5" s="16">
        <f t="shared" ref="Y5:Y33" si="3">(W5+X5)/2</f>
        <v>0</v>
      </c>
      <c r="Z5" s="16">
        <f>MROUND(Z34,0.25)</f>
        <v>0</v>
      </c>
      <c r="AA5" s="16">
        <f>MROUND(AA34,0.25)</f>
        <v>0</v>
      </c>
      <c r="AB5" s="16">
        <f>RANK(Y5, $Y$4:$Y$33) + COUNTIF($Y$4:Y5, Y5) - 1</f>
        <v>2</v>
      </c>
      <c r="AC5" s="17"/>
      <c r="AD5" s="17"/>
      <c r="AE5" s="17">
        <f t="shared" ref="AE5:AE33" si="4">(AC5+AD5)/2</f>
        <v>0</v>
      </c>
      <c r="AF5" s="17">
        <f>MROUND(AF34,0.25)</f>
        <v>0</v>
      </c>
      <c r="AG5" s="17">
        <f>MROUND(AG34,0.25)</f>
        <v>0</v>
      </c>
      <c r="AH5" s="17">
        <f>RANK(AE5, $AE$4:$AE$33) + COUNTIF($AE$4:AE5, AE5) - 1</f>
        <v>2</v>
      </c>
      <c r="AI5" s="16"/>
      <c r="AJ5" s="16"/>
      <c r="AK5" s="18">
        <f t="shared" ref="AK5:AK33" si="5">(AI5+AJ5)/2</f>
        <v>0</v>
      </c>
      <c r="AL5" s="16">
        <f>MROUND(AL34,0.25)</f>
        <v>0</v>
      </c>
      <c r="AM5" s="16">
        <f>MROUND(AM34,0.25)</f>
        <v>0</v>
      </c>
      <c r="AN5" s="16">
        <f>RANK(AK5, $AK$4:$AK$33) + COUNTIF($AK$4:AK5, AK5) - 1</f>
        <v>2</v>
      </c>
      <c r="AO5" s="12"/>
      <c r="AP5" s="12"/>
      <c r="AQ5" s="12">
        <f t="shared" ref="AQ5:AQ33" si="6">(AP5+AO5)/2</f>
        <v>0</v>
      </c>
      <c r="AR5" s="12">
        <f>MROUND(AR34,0.25)</f>
        <v>0</v>
      </c>
      <c r="AS5" s="12">
        <f>MROUND(AS34,0.25)</f>
        <v>0</v>
      </c>
      <c r="AT5" s="12">
        <f>RANK(AQ5, $AQ$4:$AQ$33) + COUNTIF($AQ$4:AQ5, AQ5) - 1</f>
        <v>2</v>
      </c>
      <c r="AU5" s="19">
        <f>ROUND(((G5+M5+S5+Y5+AE5+AK5+AQ5)/B35),2)</f>
        <v>0</v>
      </c>
      <c r="AV5" s="20">
        <f>RANK(AU5, $AU$4:$AU$33) + COUNTIF($AU$4:AU5, AU5) - 1</f>
        <v>2</v>
      </c>
    </row>
    <row r="6" spans="1:48" ht="21" customHeight="1" x14ac:dyDescent="0.25">
      <c r="A6" s="2">
        <v>3</v>
      </c>
      <c r="B6" s="27"/>
      <c r="C6" s="27"/>
      <c r="D6" s="20"/>
      <c r="E6" s="12"/>
      <c r="F6" s="12"/>
      <c r="G6" s="12">
        <f t="shared" si="0"/>
        <v>0</v>
      </c>
      <c r="H6" s="13">
        <f>MROUND(H34,0.25)</f>
        <v>0</v>
      </c>
      <c r="I6" s="12">
        <f>MROUND(I34,0.25)</f>
        <v>0</v>
      </c>
      <c r="J6" s="12">
        <f>RANK(G6, $G$4:$G$33) + COUNTIF($G$4:G6, G6) - 1</f>
        <v>3</v>
      </c>
      <c r="K6" s="14"/>
      <c r="L6" s="14"/>
      <c r="M6" s="14">
        <f t="shared" si="1"/>
        <v>0</v>
      </c>
      <c r="N6" s="14">
        <f>MROUND(N34,0.25)</f>
        <v>0</v>
      </c>
      <c r="O6" s="14">
        <f>MROUND(O34,0.25)</f>
        <v>0</v>
      </c>
      <c r="P6" s="14">
        <f>RANK(M6, $M$4:$M$33) + COUNTIF($M$4:M6, M6) - 1</f>
        <v>3</v>
      </c>
      <c r="Q6" s="15"/>
      <c r="R6" s="15"/>
      <c r="S6" s="15">
        <f t="shared" si="2"/>
        <v>0</v>
      </c>
      <c r="T6" s="15">
        <f>MROUND(T34,0.25)</f>
        <v>0</v>
      </c>
      <c r="U6" s="15">
        <f>MROUND(U34,0.25)</f>
        <v>0</v>
      </c>
      <c r="V6" s="15">
        <f>RANK(S6, $S$4:$S$33) + COUNTIF($S$4:S6, S6) - 1</f>
        <v>3</v>
      </c>
      <c r="W6" s="16"/>
      <c r="X6" s="16"/>
      <c r="Y6" s="16">
        <f t="shared" si="3"/>
        <v>0</v>
      </c>
      <c r="Z6" s="16">
        <f>MROUND(Z34,0.25)</f>
        <v>0</v>
      </c>
      <c r="AA6" s="16">
        <f>MROUND(AA34,0.25)</f>
        <v>0</v>
      </c>
      <c r="AB6" s="16">
        <f>RANK(Y6, $Y$4:$Y$33) + COUNTIF($Y$4:Y6, Y6) - 1</f>
        <v>3</v>
      </c>
      <c r="AC6" s="17"/>
      <c r="AD6" s="17"/>
      <c r="AE6" s="17">
        <f t="shared" si="4"/>
        <v>0</v>
      </c>
      <c r="AF6" s="17">
        <f>MROUND(AF34,0.25)</f>
        <v>0</v>
      </c>
      <c r="AG6" s="17">
        <f>MROUND(AG34,0.25)</f>
        <v>0</v>
      </c>
      <c r="AH6" s="17">
        <f>RANK(AE6, $AE$4:$AE$33) + COUNTIF($AE$4:AE6, AE6) - 1</f>
        <v>3</v>
      </c>
      <c r="AI6" s="16"/>
      <c r="AJ6" s="16"/>
      <c r="AK6" s="18">
        <f t="shared" si="5"/>
        <v>0</v>
      </c>
      <c r="AL6" s="16">
        <f>MROUND(AL34,0.25)</f>
        <v>0</v>
      </c>
      <c r="AM6" s="16">
        <f>MROUND(AM34,0.25)</f>
        <v>0</v>
      </c>
      <c r="AN6" s="16">
        <f>RANK(AK6, $AK$4:$AK$33) + COUNTIF($AK$4:AK6, AK6) - 1</f>
        <v>3</v>
      </c>
      <c r="AO6" s="12"/>
      <c r="AP6" s="12"/>
      <c r="AQ6" s="12">
        <f t="shared" si="6"/>
        <v>0</v>
      </c>
      <c r="AR6" s="12">
        <f>MROUND(AR34,0.25)</f>
        <v>0</v>
      </c>
      <c r="AS6" s="12">
        <f>MROUND(AS34,0.25)</f>
        <v>0</v>
      </c>
      <c r="AT6" s="12">
        <f>RANK(AQ6, $AQ$4:$AQ$33) + COUNTIF($AQ$4:AQ6, AQ6) - 1</f>
        <v>3</v>
      </c>
      <c r="AU6" s="19">
        <f>ROUND(((G6+M6+S6+Y6+AE6+AK6+AQ6)/B35),2)</f>
        <v>0</v>
      </c>
      <c r="AV6" s="20">
        <f>RANK(AU6, $AU$4:$AU$33) + COUNTIF($AU$4:AU6, AU6) - 1</f>
        <v>3</v>
      </c>
    </row>
    <row r="7" spans="1:48" ht="21" customHeight="1" x14ac:dyDescent="0.25">
      <c r="A7" s="2">
        <v>4</v>
      </c>
      <c r="B7" s="27"/>
      <c r="C7" s="27"/>
      <c r="D7" s="20"/>
      <c r="E7" s="12"/>
      <c r="F7" s="12"/>
      <c r="G7" s="12">
        <f t="shared" si="0"/>
        <v>0</v>
      </c>
      <c r="H7" s="13">
        <f>MROUND(H34,0.25)</f>
        <v>0</v>
      </c>
      <c r="I7" s="12">
        <f>MROUND(I34,0.25)</f>
        <v>0</v>
      </c>
      <c r="J7" s="12">
        <f>RANK(G7, $G$4:$G$33) + COUNTIF($G$4:G7, G7) - 1</f>
        <v>4</v>
      </c>
      <c r="K7" s="14"/>
      <c r="L7" s="14"/>
      <c r="M7" s="14">
        <f t="shared" si="1"/>
        <v>0</v>
      </c>
      <c r="N7" s="14">
        <f>MROUND(N34,0.25)</f>
        <v>0</v>
      </c>
      <c r="O7" s="14">
        <f>MROUND(O34,0.25)</f>
        <v>0</v>
      </c>
      <c r="P7" s="14">
        <f>RANK(M7, $M$4:$M$33) + COUNTIF($M$4:M7, M7) - 1</f>
        <v>4</v>
      </c>
      <c r="Q7" s="15"/>
      <c r="R7" s="15"/>
      <c r="S7" s="15">
        <f t="shared" si="2"/>
        <v>0</v>
      </c>
      <c r="T7" s="15">
        <f>MROUND(T34,0.25)</f>
        <v>0</v>
      </c>
      <c r="U7" s="15">
        <f>MROUND(U34,0.25)</f>
        <v>0</v>
      </c>
      <c r="V7" s="15">
        <f>RANK(S7, $S$4:$S$33) + COUNTIF($S$4:S7, S7) - 1</f>
        <v>4</v>
      </c>
      <c r="W7" s="16"/>
      <c r="X7" s="16"/>
      <c r="Y7" s="16">
        <f t="shared" si="3"/>
        <v>0</v>
      </c>
      <c r="Z7" s="16">
        <f>MROUND(Z34,0.25)</f>
        <v>0</v>
      </c>
      <c r="AA7" s="16">
        <f>MROUND(AA34,0.25)</f>
        <v>0</v>
      </c>
      <c r="AB7" s="16">
        <f>RANK(Y7, $Y$4:$Y$33) + COUNTIF($Y$4:Y7, Y7) - 1</f>
        <v>4</v>
      </c>
      <c r="AC7" s="17"/>
      <c r="AD7" s="17"/>
      <c r="AE7" s="17">
        <f t="shared" si="4"/>
        <v>0</v>
      </c>
      <c r="AF7" s="17">
        <f>MROUND(AF34,0.25)</f>
        <v>0</v>
      </c>
      <c r="AG7" s="17">
        <f>MROUND(AG34,0.25)</f>
        <v>0</v>
      </c>
      <c r="AH7" s="17">
        <f>RANK(AE7, $AE$4:$AE$33) + COUNTIF($AE$4:AE7, AE7) - 1</f>
        <v>4</v>
      </c>
      <c r="AI7" s="16"/>
      <c r="AJ7" s="16"/>
      <c r="AK7" s="18">
        <f t="shared" si="5"/>
        <v>0</v>
      </c>
      <c r="AL7" s="16">
        <f>MROUND(AL34,0.25)</f>
        <v>0</v>
      </c>
      <c r="AM7" s="16">
        <f>MROUND(AM34,0.25)</f>
        <v>0</v>
      </c>
      <c r="AN7" s="16">
        <f>RANK(AK7, $AK$4:$AK$33) + COUNTIF($AK$4:AK7, AK7) - 1</f>
        <v>4</v>
      </c>
      <c r="AO7" s="12"/>
      <c r="AP7" s="12"/>
      <c r="AQ7" s="12">
        <f t="shared" si="6"/>
        <v>0</v>
      </c>
      <c r="AR7" s="12">
        <f>MROUND(AR34,0.25)</f>
        <v>0</v>
      </c>
      <c r="AS7" s="12">
        <f>MROUND(AS34,0.25)</f>
        <v>0</v>
      </c>
      <c r="AT7" s="12">
        <f>RANK(AQ7, $AQ$4:$AQ$33) + COUNTIF($AQ$4:AQ7, AQ7) - 1</f>
        <v>4</v>
      </c>
      <c r="AU7" s="19">
        <f>ROUND(((G7+M7+S7+Y7+AE7+AK7+AQ7)/B35),2)</f>
        <v>0</v>
      </c>
      <c r="AV7" s="20">
        <f>RANK(AU7, $AU$4:$AU$33) + COUNTIF($AU$4:AU7, AU7) - 1</f>
        <v>4</v>
      </c>
    </row>
    <row r="8" spans="1:48" ht="21" customHeight="1" x14ac:dyDescent="0.25">
      <c r="A8" s="2">
        <v>5</v>
      </c>
      <c r="B8" s="27"/>
      <c r="C8" s="27"/>
      <c r="D8" s="20"/>
      <c r="E8" s="12"/>
      <c r="F8" s="12"/>
      <c r="G8" s="12">
        <f t="shared" si="0"/>
        <v>0</v>
      </c>
      <c r="H8" s="13">
        <f>MROUND(H34,0.25)</f>
        <v>0</v>
      </c>
      <c r="I8" s="12">
        <f>MROUND(I34,0.25)</f>
        <v>0</v>
      </c>
      <c r="J8" s="12">
        <f>RANK(G8, $G$4:$G$33) + COUNTIF($G$4:G8, G8) - 1</f>
        <v>5</v>
      </c>
      <c r="K8" s="14"/>
      <c r="L8" s="14"/>
      <c r="M8" s="14">
        <f t="shared" si="1"/>
        <v>0</v>
      </c>
      <c r="N8" s="14">
        <f>MROUND(N34,0.25)</f>
        <v>0</v>
      </c>
      <c r="O8" s="14">
        <f>MROUND(O34,0.25)</f>
        <v>0</v>
      </c>
      <c r="P8" s="14">
        <f>RANK(M8, $M$4:$M$33) + COUNTIF($M$4:M8, M8) - 1</f>
        <v>5</v>
      </c>
      <c r="Q8" s="15"/>
      <c r="R8" s="15"/>
      <c r="S8" s="15">
        <f t="shared" ref="S8:S17" si="7">(Q8+R8)/2</f>
        <v>0</v>
      </c>
      <c r="T8" s="15">
        <f>MROUND(T34,0.25)</f>
        <v>0</v>
      </c>
      <c r="U8" s="15">
        <f>MROUND(U34,0.25)</f>
        <v>0</v>
      </c>
      <c r="V8" s="15">
        <f>RANK(S8, $S$4:$S$33) + COUNTIF($S$4:S8, S8) - 1</f>
        <v>5</v>
      </c>
      <c r="W8" s="16"/>
      <c r="X8" s="16"/>
      <c r="Y8" s="16">
        <f t="shared" si="3"/>
        <v>0</v>
      </c>
      <c r="Z8" s="16">
        <f>MROUND(Z34,0.25)</f>
        <v>0</v>
      </c>
      <c r="AA8" s="16">
        <f>MROUND(AA34,0.25)</f>
        <v>0</v>
      </c>
      <c r="AB8" s="16">
        <f>RANK(Y8, $Y$4:$Y$33) + COUNTIF($Y$4:Y8, Y8) - 1</f>
        <v>5</v>
      </c>
      <c r="AC8" s="17"/>
      <c r="AD8" s="17"/>
      <c r="AE8" s="17">
        <f t="shared" si="4"/>
        <v>0</v>
      </c>
      <c r="AF8" s="17">
        <f>MROUND(AF34,0.25)</f>
        <v>0</v>
      </c>
      <c r="AG8" s="17">
        <f>MROUND(AG34,0.25)</f>
        <v>0</v>
      </c>
      <c r="AH8" s="17">
        <f>RANK(AE8, $AE$4:$AE$33) + COUNTIF($AE$4:AE8, AE8) - 1</f>
        <v>5</v>
      </c>
      <c r="AI8" s="16"/>
      <c r="AJ8" s="16"/>
      <c r="AK8" s="18">
        <f t="shared" si="5"/>
        <v>0</v>
      </c>
      <c r="AL8" s="16">
        <f>MROUND(AL34,0.25)</f>
        <v>0</v>
      </c>
      <c r="AM8" s="16">
        <f>MROUND(AM34,0.25)</f>
        <v>0</v>
      </c>
      <c r="AN8" s="16">
        <f>RANK(AK8, $AK$4:$AK$33) + COUNTIF($AK$4:AK8, AK8) - 1</f>
        <v>5</v>
      </c>
      <c r="AO8" s="12"/>
      <c r="AP8" s="12"/>
      <c r="AQ8" s="12">
        <f t="shared" si="6"/>
        <v>0</v>
      </c>
      <c r="AR8" s="12">
        <f>MROUND(AR34,0.25)</f>
        <v>0</v>
      </c>
      <c r="AS8" s="12">
        <f>MROUND(AS34,0.25)</f>
        <v>0</v>
      </c>
      <c r="AT8" s="12">
        <f>RANK(AQ8, $AQ$4:$AQ$33) + COUNTIF($AQ$4:AQ8, AQ8) - 1</f>
        <v>5</v>
      </c>
      <c r="AU8" s="19">
        <f>ROUND(((G8+M8+S8+Y8+AE8+AK8+AQ8)/B35),2)</f>
        <v>0</v>
      </c>
      <c r="AV8" s="20">
        <f>RANK(AU8, $AU$4:$AU$33) + COUNTIF($AU$4:AU8, AU8) - 1</f>
        <v>5</v>
      </c>
    </row>
    <row r="9" spans="1:48" ht="21" customHeight="1" x14ac:dyDescent="0.25">
      <c r="A9" s="2">
        <v>6</v>
      </c>
      <c r="B9" s="27"/>
      <c r="C9" s="27"/>
      <c r="D9" s="20"/>
      <c r="E9" s="12"/>
      <c r="F9" s="12"/>
      <c r="G9" s="12">
        <f t="shared" si="0"/>
        <v>0</v>
      </c>
      <c r="H9" s="13">
        <f>MROUND(H34,0.25)</f>
        <v>0</v>
      </c>
      <c r="I9" s="12">
        <f>MROUND(I34,0.25)</f>
        <v>0</v>
      </c>
      <c r="J9" s="12">
        <f>RANK(G9, $G$4:$G$33) + COUNTIF($G$4:G9, G9) - 1</f>
        <v>6</v>
      </c>
      <c r="K9" s="14"/>
      <c r="L9" s="14"/>
      <c r="M9" s="14">
        <f t="shared" si="1"/>
        <v>0</v>
      </c>
      <c r="N9" s="14">
        <f>MROUND(N34,0.25)</f>
        <v>0</v>
      </c>
      <c r="O9" s="14">
        <f>MROUND(O34,0.25)</f>
        <v>0</v>
      </c>
      <c r="P9" s="14">
        <f>RANK(M9, $M$4:$M$33) + COUNTIF($M$4:M9, M9) - 1</f>
        <v>6</v>
      </c>
      <c r="Q9" s="15"/>
      <c r="R9" s="15"/>
      <c r="S9" s="15">
        <f t="shared" si="7"/>
        <v>0</v>
      </c>
      <c r="T9" s="15">
        <f>MROUND(T34,0.25)</f>
        <v>0</v>
      </c>
      <c r="U9" s="15">
        <f>MROUND(U34,0.25)</f>
        <v>0</v>
      </c>
      <c r="V9" s="15">
        <f>RANK(S9, $S$4:$S$33) + COUNTIF($S$4:S9, S9) - 1</f>
        <v>6</v>
      </c>
      <c r="W9" s="16"/>
      <c r="X9" s="16"/>
      <c r="Y9" s="16">
        <f t="shared" si="3"/>
        <v>0</v>
      </c>
      <c r="Z9" s="16">
        <f>MROUND(Z34,0.25)</f>
        <v>0</v>
      </c>
      <c r="AA9" s="16">
        <f>MROUND(AA34,0.25)</f>
        <v>0</v>
      </c>
      <c r="AB9" s="16">
        <f>RANK(Y9, $Y$4:$Y$33) + COUNTIF($Y$4:Y9, Y9) - 1</f>
        <v>6</v>
      </c>
      <c r="AC9" s="17"/>
      <c r="AD9" s="17"/>
      <c r="AE9" s="17">
        <f t="shared" si="4"/>
        <v>0</v>
      </c>
      <c r="AF9" s="17">
        <f>MROUND(AF34,0.25)</f>
        <v>0</v>
      </c>
      <c r="AG9" s="17">
        <f>MROUND(AG34,0.25)</f>
        <v>0</v>
      </c>
      <c r="AH9" s="17">
        <f>RANK(AE9, $AE$4:$AE$33) + COUNTIF($AE$4:AE9, AE9) - 1</f>
        <v>6</v>
      </c>
      <c r="AI9" s="16"/>
      <c r="AJ9" s="16"/>
      <c r="AK9" s="18">
        <f t="shared" si="5"/>
        <v>0</v>
      </c>
      <c r="AL9" s="16">
        <f>MROUND(AL34,0.25)</f>
        <v>0</v>
      </c>
      <c r="AM9" s="16">
        <f>MROUND(AM34,0.25)</f>
        <v>0</v>
      </c>
      <c r="AN9" s="16">
        <f>RANK(AK9, $AK$4:$AK$33) + COUNTIF($AK$4:AK9, AK9) - 1</f>
        <v>6</v>
      </c>
      <c r="AO9" s="12"/>
      <c r="AP9" s="12"/>
      <c r="AQ9" s="12">
        <f t="shared" si="6"/>
        <v>0</v>
      </c>
      <c r="AR9" s="12">
        <f>MROUND(AR34,0.25)</f>
        <v>0</v>
      </c>
      <c r="AS9" s="12">
        <f>MROUND(AS34,0.25)</f>
        <v>0</v>
      </c>
      <c r="AT9" s="12">
        <f>RANK(AQ9, $AQ$4:$AQ$33) + COUNTIF($AQ$4:AQ9, AQ9) - 1</f>
        <v>6</v>
      </c>
      <c r="AU9" s="19">
        <f>ROUND(((G9+M9+S9+Y9+AE9+AK9+AQ9)/B35),2)</f>
        <v>0</v>
      </c>
      <c r="AV9" s="20">
        <f>RANK(AU9, $AU$4:$AU$33) + COUNTIF($AU$4:AU9, AU9) - 1</f>
        <v>6</v>
      </c>
    </row>
    <row r="10" spans="1:48" ht="21" customHeight="1" x14ac:dyDescent="0.25">
      <c r="A10" s="2">
        <v>7</v>
      </c>
      <c r="B10" s="27"/>
      <c r="C10" s="27"/>
      <c r="D10" s="20"/>
      <c r="E10" s="12"/>
      <c r="F10" s="12"/>
      <c r="G10" s="12">
        <f t="shared" si="0"/>
        <v>0</v>
      </c>
      <c r="H10" s="13">
        <f>MROUND(H34,0.25)</f>
        <v>0</v>
      </c>
      <c r="I10" s="12">
        <f>MROUND(I34,0.25)</f>
        <v>0</v>
      </c>
      <c r="J10" s="12">
        <f>RANK(G10, $G$4:$G$33) + COUNTIF($G$4:G10, G10) - 1</f>
        <v>7</v>
      </c>
      <c r="K10" s="14"/>
      <c r="L10" s="14"/>
      <c r="M10" s="14">
        <f t="shared" si="1"/>
        <v>0</v>
      </c>
      <c r="N10" s="14">
        <f>MROUND(N34,0.25)</f>
        <v>0</v>
      </c>
      <c r="O10" s="14">
        <f>MROUND(O34,0.25)</f>
        <v>0</v>
      </c>
      <c r="P10" s="14">
        <f>RANK(M10, $M$4:$M$33) + COUNTIF($M$4:M10, M10) - 1</f>
        <v>7</v>
      </c>
      <c r="Q10" s="15"/>
      <c r="R10" s="15"/>
      <c r="S10" s="15">
        <f t="shared" si="7"/>
        <v>0</v>
      </c>
      <c r="T10" s="15">
        <f>MROUND(T34,0.25)</f>
        <v>0</v>
      </c>
      <c r="U10" s="15">
        <f>MROUND(U34,0.25)</f>
        <v>0</v>
      </c>
      <c r="V10" s="15">
        <f>RANK(S10, $S$4:$S$33) + COUNTIF($S$4:S10, S10) - 1</f>
        <v>7</v>
      </c>
      <c r="W10" s="16"/>
      <c r="X10" s="16"/>
      <c r="Y10" s="16">
        <f t="shared" si="3"/>
        <v>0</v>
      </c>
      <c r="Z10" s="16">
        <f>MROUND(Z34,0.25)</f>
        <v>0</v>
      </c>
      <c r="AA10" s="16">
        <f>MROUND(AA34,0.25)</f>
        <v>0</v>
      </c>
      <c r="AB10" s="16">
        <f>RANK(Y10, $Y$4:$Y$33) + COUNTIF($Y$4:Y10, Y10) - 1</f>
        <v>7</v>
      </c>
      <c r="AC10" s="17"/>
      <c r="AD10" s="17"/>
      <c r="AE10" s="17">
        <f t="shared" si="4"/>
        <v>0</v>
      </c>
      <c r="AF10" s="17">
        <f>MROUND(AF34,0.25)</f>
        <v>0</v>
      </c>
      <c r="AG10" s="17">
        <f>MROUND(AG34,0.25)</f>
        <v>0</v>
      </c>
      <c r="AH10" s="17">
        <f>RANK(AE10, $AE$4:$AE$33) + COUNTIF($AE$4:AE10, AE10) - 1</f>
        <v>7</v>
      </c>
      <c r="AI10" s="16"/>
      <c r="AJ10" s="16"/>
      <c r="AK10" s="18">
        <f t="shared" si="5"/>
        <v>0</v>
      </c>
      <c r="AL10" s="16">
        <f>MROUND(AL34,0.25)</f>
        <v>0</v>
      </c>
      <c r="AM10" s="16">
        <f>MROUND(AM34,0.25)</f>
        <v>0</v>
      </c>
      <c r="AN10" s="16">
        <f>RANK(AK10, $AK$4:$AK$33) + COUNTIF($AK$4:AK10, AK10) - 1</f>
        <v>7</v>
      </c>
      <c r="AO10" s="12"/>
      <c r="AP10" s="12"/>
      <c r="AQ10" s="12">
        <f t="shared" si="6"/>
        <v>0</v>
      </c>
      <c r="AR10" s="12">
        <f>MROUND(AR34,0.25)</f>
        <v>0</v>
      </c>
      <c r="AS10" s="12">
        <f>MROUND(AS34,0.25)</f>
        <v>0</v>
      </c>
      <c r="AT10" s="12">
        <f>RANK(AQ10, $AQ$4:$AQ$33) + COUNTIF($AQ$4:AQ10, AQ10) - 1</f>
        <v>7</v>
      </c>
      <c r="AU10" s="19">
        <f>ROUND(((G10+M10+S10+Y10+AE10+AK10+AQ10)/B35),2)</f>
        <v>0</v>
      </c>
      <c r="AV10" s="20">
        <f>RANK(AU10, $AU$4:$AU$33) + COUNTIF($AU$4:AU10, AU10) - 1</f>
        <v>7</v>
      </c>
    </row>
    <row r="11" spans="1:48" ht="21" customHeight="1" x14ac:dyDescent="0.25">
      <c r="A11" s="2">
        <v>8</v>
      </c>
      <c r="B11" s="27"/>
      <c r="C11" s="27"/>
      <c r="D11" s="20"/>
      <c r="E11" s="12"/>
      <c r="F11" s="12"/>
      <c r="G11" s="12">
        <f t="shared" si="0"/>
        <v>0</v>
      </c>
      <c r="H11" s="13">
        <f>MROUND(H34,0.25)</f>
        <v>0</v>
      </c>
      <c r="I11" s="12">
        <f>MROUND(I34,0.25)</f>
        <v>0</v>
      </c>
      <c r="J11" s="12">
        <f>RANK(G11, $G$4:$G$33) + COUNTIF($G$4:G11, G11) - 1</f>
        <v>8</v>
      </c>
      <c r="K11" s="14"/>
      <c r="L11" s="14"/>
      <c r="M11" s="14">
        <f t="shared" si="1"/>
        <v>0</v>
      </c>
      <c r="N11" s="14">
        <f>MROUND(N34,0.25)</f>
        <v>0</v>
      </c>
      <c r="O11" s="14">
        <f>MROUND(O34,0.25)</f>
        <v>0</v>
      </c>
      <c r="P11" s="14">
        <f>RANK(M11, $M$4:$M$33) + COUNTIF($M$4:M11, M11) - 1</f>
        <v>8</v>
      </c>
      <c r="Q11" s="15"/>
      <c r="R11" s="15"/>
      <c r="S11" s="15">
        <f t="shared" si="7"/>
        <v>0</v>
      </c>
      <c r="T11" s="15">
        <f>MROUND(T34,0.25)</f>
        <v>0</v>
      </c>
      <c r="U11" s="15">
        <f>MROUND(U34,0.25)</f>
        <v>0</v>
      </c>
      <c r="V11" s="15">
        <f>RANK(S11, $S$4:$S$33) + COUNTIF($S$4:S11, S11) - 1</f>
        <v>8</v>
      </c>
      <c r="W11" s="16"/>
      <c r="X11" s="16"/>
      <c r="Y11" s="16">
        <f t="shared" si="3"/>
        <v>0</v>
      </c>
      <c r="Z11" s="16">
        <f>MROUND(Z34,0.25)</f>
        <v>0</v>
      </c>
      <c r="AA11" s="16">
        <f>MROUND(AA34,0.25)</f>
        <v>0</v>
      </c>
      <c r="AB11" s="16">
        <f>RANK(Y11, $Y$4:$Y$33) + COUNTIF($Y$4:Y11, Y11) - 1</f>
        <v>8</v>
      </c>
      <c r="AC11" s="17"/>
      <c r="AD11" s="17"/>
      <c r="AE11" s="17">
        <f t="shared" si="4"/>
        <v>0</v>
      </c>
      <c r="AF11" s="17">
        <f>MROUND(AF34,0.25)</f>
        <v>0</v>
      </c>
      <c r="AG11" s="17">
        <f>MROUND(AG34,0.25)</f>
        <v>0</v>
      </c>
      <c r="AH11" s="17">
        <f>RANK(AE11, $AE$4:$AE$33) + COUNTIF($AE$4:AE11, AE11) - 1</f>
        <v>8</v>
      </c>
      <c r="AI11" s="16"/>
      <c r="AJ11" s="16"/>
      <c r="AK11" s="18">
        <f t="shared" si="5"/>
        <v>0</v>
      </c>
      <c r="AL11" s="16">
        <f>MROUND(AL34,0.25)</f>
        <v>0</v>
      </c>
      <c r="AM11" s="16">
        <f>MROUND(AM34,0.25)</f>
        <v>0</v>
      </c>
      <c r="AN11" s="16">
        <f>RANK(AK11, $AK$4:$AK$33) + COUNTIF($AK$4:AK11, AK11) - 1</f>
        <v>8</v>
      </c>
      <c r="AO11" s="12"/>
      <c r="AP11" s="12"/>
      <c r="AQ11" s="12">
        <f t="shared" si="6"/>
        <v>0</v>
      </c>
      <c r="AR11" s="12">
        <f>MROUND(AR34,0.25)</f>
        <v>0</v>
      </c>
      <c r="AS11" s="12">
        <f>MROUND(AS34,0.25)</f>
        <v>0</v>
      </c>
      <c r="AT11" s="12">
        <f>RANK(AQ11, $AQ$4:$AQ$33) + COUNTIF($AQ$4:AQ11, AQ11) - 1</f>
        <v>8</v>
      </c>
      <c r="AU11" s="19">
        <f>ROUND(((G11+M11+S11+Y11+AE11+AK11+AQ11)/B35),2)</f>
        <v>0</v>
      </c>
      <c r="AV11" s="20">
        <f>RANK(AU11, $AU$4:$AU$33) + COUNTIF($AU$4:AU11, AU11) - 1</f>
        <v>8</v>
      </c>
    </row>
    <row r="12" spans="1:48" ht="21" customHeight="1" x14ac:dyDescent="0.25">
      <c r="A12" s="2">
        <v>9</v>
      </c>
      <c r="B12" s="27"/>
      <c r="C12" s="27"/>
      <c r="D12" s="20"/>
      <c r="E12" s="12"/>
      <c r="F12" s="12"/>
      <c r="G12" s="12">
        <f t="shared" si="0"/>
        <v>0</v>
      </c>
      <c r="H12" s="13">
        <f>MROUND(H34,0.25)</f>
        <v>0</v>
      </c>
      <c r="I12" s="12">
        <f>MROUND(I34,0.25)</f>
        <v>0</v>
      </c>
      <c r="J12" s="12">
        <f>RANK(G12, $G$4:$G$33) + COUNTIF($G$4:G12, G12) - 1</f>
        <v>9</v>
      </c>
      <c r="K12" s="14"/>
      <c r="L12" s="14"/>
      <c r="M12" s="14">
        <f t="shared" si="1"/>
        <v>0</v>
      </c>
      <c r="N12" s="14">
        <f>MROUND(N34,0.25)</f>
        <v>0</v>
      </c>
      <c r="O12" s="14">
        <f>MROUND(O34,0.25)</f>
        <v>0</v>
      </c>
      <c r="P12" s="14">
        <f>RANK(M12, $M$4:$M$33) + COUNTIF($M$4:M12, M12) - 1</f>
        <v>9</v>
      </c>
      <c r="Q12" s="15"/>
      <c r="R12" s="15"/>
      <c r="S12" s="15">
        <f t="shared" si="7"/>
        <v>0</v>
      </c>
      <c r="T12" s="15">
        <f>MROUND(T34,0.25)</f>
        <v>0</v>
      </c>
      <c r="U12" s="15">
        <f>MROUND(U34,0.25)</f>
        <v>0</v>
      </c>
      <c r="V12" s="15">
        <f>RANK(S12, $S$4:$S$33) + COUNTIF($S$4:S12, S12) - 1</f>
        <v>9</v>
      </c>
      <c r="W12" s="16"/>
      <c r="X12" s="16"/>
      <c r="Y12" s="16">
        <f t="shared" si="3"/>
        <v>0</v>
      </c>
      <c r="Z12" s="16">
        <f>MROUND(Z34,0.25)</f>
        <v>0</v>
      </c>
      <c r="AA12" s="16">
        <f>MROUND(AA34,0.25)</f>
        <v>0</v>
      </c>
      <c r="AB12" s="16">
        <f>RANK(Y12, $Y$4:$Y$33) + COUNTIF($Y$4:Y12, Y12) - 1</f>
        <v>9</v>
      </c>
      <c r="AC12" s="17"/>
      <c r="AD12" s="17"/>
      <c r="AE12" s="17">
        <f t="shared" si="4"/>
        <v>0</v>
      </c>
      <c r="AF12" s="17">
        <f>MROUND(AF34,0.25)</f>
        <v>0</v>
      </c>
      <c r="AG12" s="17">
        <f>MROUND(AG34,0.25)</f>
        <v>0</v>
      </c>
      <c r="AH12" s="17">
        <f>RANK(AE12, $AE$4:$AE$33) + COUNTIF($AE$4:AE12, AE12) - 1</f>
        <v>9</v>
      </c>
      <c r="AI12" s="16"/>
      <c r="AJ12" s="16"/>
      <c r="AK12" s="18">
        <f t="shared" si="5"/>
        <v>0</v>
      </c>
      <c r="AL12" s="16">
        <f>MROUND(AL34,0.25)</f>
        <v>0</v>
      </c>
      <c r="AM12" s="16">
        <f>MROUND(AM34,0.25)</f>
        <v>0</v>
      </c>
      <c r="AN12" s="16">
        <f>RANK(AK12, $AK$4:$AK$33) + COUNTIF($AK$4:AK12, AK12) - 1</f>
        <v>9</v>
      </c>
      <c r="AO12" s="12"/>
      <c r="AP12" s="12"/>
      <c r="AQ12" s="12">
        <f t="shared" si="6"/>
        <v>0</v>
      </c>
      <c r="AR12" s="12">
        <f>MROUND(AR34,0.25)</f>
        <v>0</v>
      </c>
      <c r="AS12" s="12">
        <f>MROUND(AS34,0.25)</f>
        <v>0</v>
      </c>
      <c r="AT12" s="12">
        <f>RANK(AQ12, $AQ$4:$AQ$33) + COUNTIF($AQ$4:AQ12, AQ12) - 1</f>
        <v>9</v>
      </c>
      <c r="AU12" s="19">
        <f>ROUND(((G12+M12+S12+Y12+AE12+AK12+AQ12)/B35),2)</f>
        <v>0</v>
      </c>
      <c r="AV12" s="20">
        <f>RANK(AU12, $AU$4:$AU$33) + COUNTIF($AU$4:AU12, AU12) - 1</f>
        <v>9</v>
      </c>
    </row>
    <row r="13" spans="1:48" ht="21" customHeight="1" x14ac:dyDescent="0.25">
      <c r="A13" s="2">
        <v>10</v>
      </c>
      <c r="B13" s="27"/>
      <c r="C13" s="27"/>
      <c r="D13" s="20"/>
      <c r="E13" s="12"/>
      <c r="F13" s="12"/>
      <c r="G13" s="12">
        <f t="shared" si="0"/>
        <v>0</v>
      </c>
      <c r="H13" s="13">
        <f>MROUND(H34,0.25)</f>
        <v>0</v>
      </c>
      <c r="I13" s="12">
        <f>MROUND(I34,0.25)</f>
        <v>0</v>
      </c>
      <c r="J13" s="12">
        <f>RANK(G13, $G$4:$G$33) + COUNTIF($G$4:G13, G13) - 1</f>
        <v>10</v>
      </c>
      <c r="K13" s="14"/>
      <c r="L13" s="14"/>
      <c r="M13" s="14">
        <f t="shared" si="1"/>
        <v>0</v>
      </c>
      <c r="N13" s="14">
        <f>MROUND(N34,0.25)</f>
        <v>0</v>
      </c>
      <c r="O13" s="14">
        <f>MROUND(O34,0.25)</f>
        <v>0</v>
      </c>
      <c r="P13" s="14">
        <f>RANK(M13, $M$4:$M$33) + COUNTIF($M$4:M13, M13) - 1</f>
        <v>10</v>
      </c>
      <c r="Q13" s="15"/>
      <c r="R13" s="15"/>
      <c r="S13" s="15">
        <f t="shared" si="7"/>
        <v>0</v>
      </c>
      <c r="T13" s="15">
        <f>MROUND(T34,0.25)</f>
        <v>0</v>
      </c>
      <c r="U13" s="15">
        <f>MROUND(U34,0.25)</f>
        <v>0</v>
      </c>
      <c r="V13" s="15">
        <f>RANK(S13, $S$4:$S$33) + COUNTIF($S$4:S13, S13) - 1</f>
        <v>10</v>
      </c>
      <c r="W13" s="16"/>
      <c r="X13" s="16"/>
      <c r="Y13" s="16">
        <f t="shared" si="3"/>
        <v>0</v>
      </c>
      <c r="Z13" s="16">
        <f>MROUND(Z34,0.25)</f>
        <v>0</v>
      </c>
      <c r="AA13" s="16">
        <f>MROUND(AA34,0.25)</f>
        <v>0</v>
      </c>
      <c r="AB13" s="16">
        <f>RANK(Y13, $Y$4:$Y$33) + COUNTIF($Y$4:Y13, Y13) - 1</f>
        <v>10</v>
      </c>
      <c r="AC13" s="17"/>
      <c r="AD13" s="17"/>
      <c r="AE13" s="17">
        <f t="shared" si="4"/>
        <v>0</v>
      </c>
      <c r="AF13" s="17">
        <f>MROUND(AF34,0.25)</f>
        <v>0</v>
      </c>
      <c r="AG13" s="17">
        <f>MROUND(AG34,0.25)</f>
        <v>0</v>
      </c>
      <c r="AH13" s="17">
        <f>RANK(AE13, $AE$4:$AE$33) + COUNTIF($AE$4:AE13, AE13) - 1</f>
        <v>10</v>
      </c>
      <c r="AI13" s="16"/>
      <c r="AJ13" s="16"/>
      <c r="AK13" s="18">
        <f t="shared" si="5"/>
        <v>0</v>
      </c>
      <c r="AL13" s="16">
        <f>MROUND(AL34,0.25)</f>
        <v>0</v>
      </c>
      <c r="AM13" s="16">
        <f>MROUND(AM34,0.25)</f>
        <v>0</v>
      </c>
      <c r="AN13" s="16">
        <f>RANK(AK13, $AK$4:$AK$33) + COUNTIF($AK$4:AK13, AK13) - 1</f>
        <v>10</v>
      </c>
      <c r="AO13" s="12"/>
      <c r="AP13" s="12"/>
      <c r="AQ13" s="12">
        <f t="shared" si="6"/>
        <v>0</v>
      </c>
      <c r="AR13" s="12">
        <f>MROUND(AR34,0.25)</f>
        <v>0</v>
      </c>
      <c r="AS13" s="12">
        <f>MROUND(AS34,0.25)</f>
        <v>0</v>
      </c>
      <c r="AT13" s="12">
        <f>RANK(AQ13, $AQ$4:$AQ$33) + COUNTIF($AQ$4:AQ13, AQ13) - 1</f>
        <v>10</v>
      </c>
      <c r="AU13" s="19">
        <f>ROUND(((G13+M13+S13+Y13+AE13+AK13+AQ13)/B35),2)</f>
        <v>0</v>
      </c>
      <c r="AV13" s="20">
        <f>RANK(AU13, $AU$4:$AU$33) + COUNTIF($AU$4:AU13, AU13) - 1</f>
        <v>10</v>
      </c>
    </row>
    <row r="14" spans="1:48" ht="21" customHeight="1" x14ac:dyDescent="0.25">
      <c r="A14" s="2">
        <v>11</v>
      </c>
      <c r="B14" s="27"/>
      <c r="C14" s="27"/>
      <c r="D14" s="20"/>
      <c r="E14" s="12"/>
      <c r="F14" s="12"/>
      <c r="G14" s="12">
        <f t="shared" si="0"/>
        <v>0</v>
      </c>
      <c r="H14" s="13">
        <f>MROUND(H34,0.25)</f>
        <v>0</v>
      </c>
      <c r="I14" s="12">
        <f>MROUND(I34,0.25)</f>
        <v>0</v>
      </c>
      <c r="J14" s="12">
        <f>RANK(G14, $G$4:$G$33) + COUNTIF($G$4:G14, G14) - 1</f>
        <v>11</v>
      </c>
      <c r="K14" s="14"/>
      <c r="L14" s="14"/>
      <c r="M14" s="14">
        <f t="shared" si="1"/>
        <v>0</v>
      </c>
      <c r="N14" s="14">
        <f>MROUND(N34,0.25)</f>
        <v>0</v>
      </c>
      <c r="O14" s="14">
        <f>MROUND(O34,0.25)</f>
        <v>0</v>
      </c>
      <c r="P14" s="14">
        <f>RANK(M14, $M$4:$M$33) + COUNTIF($M$4:M14, M14) - 1</f>
        <v>11</v>
      </c>
      <c r="Q14" s="15"/>
      <c r="R14" s="15"/>
      <c r="S14" s="15">
        <f t="shared" si="7"/>
        <v>0</v>
      </c>
      <c r="T14" s="15">
        <f>MROUND(T34,0.25)</f>
        <v>0</v>
      </c>
      <c r="U14" s="15">
        <f>MROUND(U34,0.25)</f>
        <v>0</v>
      </c>
      <c r="V14" s="15">
        <f>RANK(S14, $S$4:$S$33) + COUNTIF($S$4:S14, S14) - 1</f>
        <v>11</v>
      </c>
      <c r="W14" s="16"/>
      <c r="X14" s="16"/>
      <c r="Y14" s="16">
        <f t="shared" si="3"/>
        <v>0</v>
      </c>
      <c r="Z14" s="16">
        <f>MROUND(Z34,0.25)</f>
        <v>0</v>
      </c>
      <c r="AA14" s="16">
        <f>MROUND(AA34,0.25)</f>
        <v>0</v>
      </c>
      <c r="AB14" s="16">
        <f>RANK(Y14, $Y$4:$Y$33) + COUNTIF($Y$4:Y14, Y14) - 1</f>
        <v>11</v>
      </c>
      <c r="AC14" s="17"/>
      <c r="AD14" s="17"/>
      <c r="AE14" s="17">
        <f t="shared" si="4"/>
        <v>0</v>
      </c>
      <c r="AF14" s="17">
        <f>MROUND(AF34,0.25)</f>
        <v>0</v>
      </c>
      <c r="AG14" s="17">
        <f>MROUND(AG34,0.25)</f>
        <v>0</v>
      </c>
      <c r="AH14" s="17">
        <f>RANK(AE14, $AE$4:$AE$33) + COUNTIF($AE$4:AE14, AE14) - 1</f>
        <v>11</v>
      </c>
      <c r="AI14" s="16"/>
      <c r="AJ14" s="16"/>
      <c r="AK14" s="18">
        <f t="shared" si="5"/>
        <v>0</v>
      </c>
      <c r="AL14" s="16">
        <f>MROUND(AL34,0.25)</f>
        <v>0</v>
      </c>
      <c r="AM14" s="16">
        <f>MROUND(AM34,0.25)</f>
        <v>0</v>
      </c>
      <c r="AN14" s="16">
        <f>RANK(AK14, $AK$4:$AK$33) + COUNTIF($AK$4:AK14, AK14) - 1</f>
        <v>11</v>
      </c>
      <c r="AO14" s="12"/>
      <c r="AP14" s="12"/>
      <c r="AQ14" s="12">
        <f t="shared" si="6"/>
        <v>0</v>
      </c>
      <c r="AR14" s="12">
        <f>MROUND(AR34,0.25)</f>
        <v>0</v>
      </c>
      <c r="AS14" s="12">
        <f>MROUND(AS34,0.25)</f>
        <v>0</v>
      </c>
      <c r="AT14" s="12">
        <f>RANK(AQ14, $AQ$4:$AQ$33) + COUNTIF($AQ$4:AQ14, AQ14) - 1</f>
        <v>11</v>
      </c>
      <c r="AU14" s="19">
        <f>ROUND(((G14+M14+S14+Y14+AE14+AK14+AQ14)/B35),2)</f>
        <v>0</v>
      </c>
      <c r="AV14" s="20">
        <f>RANK(AU14, $AU$4:$AU$33) + COUNTIF($AU$4:AU14, AU14) - 1</f>
        <v>11</v>
      </c>
    </row>
    <row r="15" spans="1:48" ht="21" customHeight="1" x14ac:dyDescent="0.25">
      <c r="A15" s="2">
        <v>12</v>
      </c>
      <c r="B15" s="27"/>
      <c r="C15" s="27"/>
      <c r="D15" s="20"/>
      <c r="E15" s="12"/>
      <c r="F15" s="12"/>
      <c r="G15" s="12">
        <f t="shared" si="0"/>
        <v>0</v>
      </c>
      <c r="H15" s="13">
        <f>MROUND(H34,0.25)</f>
        <v>0</v>
      </c>
      <c r="I15" s="12">
        <f>MROUND(I34,0.25)</f>
        <v>0</v>
      </c>
      <c r="J15" s="12">
        <f>RANK(G15, $G$4:$G$33) + COUNTIF($G$4:G15, G15) - 1</f>
        <v>12</v>
      </c>
      <c r="K15" s="14"/>
      <c r="L15" s="14"/>
      <c r="M15" s="14">
        <f t="shared" si="1"/>
        <v>0</v>
      </c>
      <c r="N15" s="14">
        <f>MROUND(N34,0.25)</f>
        <v>0</v>
      </c>
      <c r="O15" s="14">
        <f>MROUND(O34,0.25)</f>
        <v>0</v>
      </c>
      <c r="P15" s="14">
        <f>RANK(M15, $M$4:$M$33) + COUNTIF($M$4:M15, M15) - 1</f>
        <v>12</v>
      </c>
      <c r="Q15" s="15"/>
      <c r="R15" s="15"/>
      <c r="S15" s="15">
        <f t="shared" si="7"/>
        <v>0</v>
      </c>
      <c r="T15" s="15">
        <f>MROUND(T34,0.25)</f>
        <v>0</v>
      </c>
      <c r="U15" s="15">
        <f>MROUND(U34,0.25)</f>
        <v>0</v>
      </c>
      <c r="V15" s="15">
        <f>RANK(S15, $S$4:$S$33) + COUNTIF($S$4:S15, S15) - 1</f>
        <v>12</v>
      </c>
      <c r="W15" s="16"/>
      <c r="X15" s="16"/>
      <c r="Y15" s="16">
        <f t="shared" si="3"/>
        <v>0</v>
      </c>
      <c r="Z15" s="16">
        <f>MROUND(Z34,0.25)</f>
        <v>0</v>
      </c>
      <c r="AA15" s="16">
        <f>MROUND(AA34,0.25)</f>
        <v>0</v>
      </c>
      <c r="AB15" s="16">
        <f>RANK(Y15, $Y$4:$Y$33) + COUNTIF($Y$4:Y15, Y15) - 1</f>
        <v>12</v>
      </c>
      <c r="AC15" s="17"/>
      <c r="AD15" s="17"/>
      <c r="AE15" s="17">
        <f t="shared" si="4"/>
        <v>0</v>
      </c>
      <c r="AF15" s="17">
        <f>MROUND(AF34,0.25)</f>
        <v>0</v>
      </c>
      <c r="AG15" s="17">
        <f>MROUND(AG34,0.25)</f>
        <v>0</v>
      </c>
      <c r="AH15" s="17">
        <f>RANK(AE15, $AE$4:$AE$33) + COUNTIF($AE$4:AE15, AE15) - 1</f>
        <v>12</v>
      </c>
      <c r="AI15" s="16"/>
      <c r="AJ15" s="16"/>
      <c r="AK15" s="18">
        <f t="shared" si="5"/>
        <v>0</v>
      </c>
      <c r="AL15" s="16">
        <f>MROUND(AL34,0.25)</f>
        <v>0</v>
      </c>
      <c r="AM15" s="16">
        <f>MROUND(AM34,0.25)</f>
        <v>0</v>
      </c>
      <c r="AN15" s="16">
        <f>RANK(AK15, $AK$4:$AK$33) + COUNTIF($AK$4:AK15, AK15) - 1</f>
        <v>12</v>
      </c>
      <c r="AO15" s="12"/>
      <c r="AP15" s="12"/>
      <c r="AQ15" s="12">
        <f t="shared" si="6"/>
        <v>0</v>
      </c>
      <c r="AR15" s="12">
        <f>MROUND(AR34,0.25)</f>
        <v>0</v>
      </c>
      <c r="AS15" s="12">
        <f>MROUND(AS34,0.25)</f>
        <v>0</v>
      </c>
      <c r="AT15" s="12">
        <f>RANK(AQ15, $AQ$4:$AQ$33) + COUNTIF($AQ$4:AQ15, AQ15) - 1</f>
        <v>12</v>
      </c>
      <c r="AU15" s="19">
        <f>ROUND(((G15+M15+S15+Y15+AE15+AK15+AQ15)/B35),2)</f>
        <v>0</v>
      </c>
      <c r="AV15" s="20">
        <f>RANK(AU15, $AU$4:$AU$33) + COUNTIF($AU$4:AU15, AU15) - 1</f>
        <v>12</v>
      </c>
    </row>
    <row r="16" spans="1:48" ht="21" customHeight="1" x14ac:dyDescent="0.25">
      <c r="A16" s="2">
        <v>13</v>
      </c>
      <c r="B16" s="27"/>
      <c r="C16" s="27"/>
      <c r="D16" s="20"/>
      <c r="E16" s="12"/>
      <c r="F16" s="12"/>
      <c r="G16" s="12">
        <f t="shared" si="0"/>
        <v>0</v>
      </c>
      <c r="H16" s="13">
        <f>MROUND(H34,0.25)</f>
        <v>0</v>
      </c>
      <c r="I16" s="12">
        <f>MROUND(I34,0.25)</f>
        <v>0</v>
      </c>
      <c r="J16" s="12">
        <f>RANK(G16, $G$4:$G$33) + COUNTIF($G$4:G16, G16) - 1</f>
        <v>13</v>
      </c>
      <c r="K16" s="14"/>
      <c r="L16" s="14"/>
      <c r="M16" s="14">
        <f t="shared" si="1"/>
        <v>0</v>
      </c>
      <c r="N16" s="14">
        <f>MROUND(N34,0.25)</f>
        <v>0</v>
      </c>
      <c r="O16" s="14">
        <f>MROUND(O34,0.25)</f>
        <v>0</v>
      </c>
      <c r="P16" s="14">
        <f>RANK(M16, $M$4:$M$33) + COUNTIF($M$4:M16, M16) - 1</f>
        <v>13</v>
      </c>
      <c r="Q16" s="15"/>
      <c r="R16" s="15"/>
      <c r="S16" s="15">
        <f t="shared" si="7"/>
        <v>0</v>
      </c>
      <c r="T16" s="15">
        <f>MROUND(T34,0.25)</f>
        <v>0</v>
      </c>
      <c r="U16" s="15">
        <f>MROUND(U34,0.25)</f>
        <v>0</v>
      </c>
      <c r="V16" s="15">
        <f>RANK(S16, $S$4:$S$33) + COUNTIF($S$4:S16, S16) - 1</f>
        <v>13</v>
      </c>
      <c r="W16" s="16"/>
      <c r="X16" s="16"/>
      <c r="Y16" s="16">
        <f t="shared" si="3"/>
        <v>0</v>
      </c>
      <c r="Z16" s="16">
        <f>MROUND(Z34,0.25)</f>
        <v>0</v>
      </c>
      <c r="AA16" s="16">
        <f>MROUND(AA34,0.25)</f>
        <v>0</v>
      </c>
      <c r="AB16" s="16">
        <f>RANK(Y16, $Y$4:$Y$33) + COUNTIF($Y$4:Y16, Y16) - 1</f>
        <v>13</v>
      </c>
      <c r="AC16" s="17"/>
      <c r="AD16" s="17"/>
      <c r="AE16" s="17">
        <f t="shared" si="4"/>
        <v>0</v>
      </c>
      <c r="AF16" s="17">
        <f>MROUND(AF34,0.25)</f>
        <v>0</v>
      </c>
      <c r="AG16" s="17">
        <f>MROUND(AG34,0.25)</f>
        <v>0</v>
      </c>
      <c r="AH16" s="17">
        <f>RANK(AE16, $AE$4:$AE$33) + COUNTIF($AE$4:AE16, AE16) - 1</f>
        <v>13</v>
      </c>
      <c r="AI16" s="16"/>
      <c r="AJ16" s="16"/>
      <c r="AK16" s="18">
        <f t="shared" si="5"/>
        <v>0</v>
      </c>
      <c r="AL16" s="16">
        <f>MROUND(AL34,0.25)</f>
        <v>0</v>
      </c>
      <c r="AM16" s="16">
        <f>MROUND(AM34,0.25)</f>
        <v>0</v>
      </c>
      <c r="AN16" s="16">
        <f>RANK(AK16, $AK$4:$AK$33) + COUNTIF($AK$4:AK16, AK16) - 1</f>
        <v>13</v>
      </c>
      <c r="AO16" s="12"/>
      <c r="AP16" s="12"/>
      <c r="AQ16" s="12">
        <f t="shared" si="6"/>
        <v>0</v>
      </c>
      <c r="AR16" s="12">
        <f>MROUND(AR34,0.25)</f>
        <v>0</v>
      </c>
      <c r="AS16" s="12">
        <f>MROUND(AS34,0.25)</f>
        <v>0</v>
      </c>
      <c r="AT16" s="12">
        <f>RANK(AQ16, $AQ$4:$AQ$33) + COUNTIF($AQ$4:AQ16, AQ16) - 1</f>
        <v>13</v>
      </c>
      <c r="AU16" s="19">
        <f>ROUND(((G16+M16+S16+Y16+AE16+AK16+AQ16)/B35),2)</f>
        <v>0</v>
      </c>
      <c r="AV16" s="20">
        <f>RANK(AU16, $AU$4:$AU$33) + COUNTIF($AU$4:AU16, AU16) - 1</f>
        <v>13</v>
      </c>
    </row>
    <row r="17" spans="1:48" ht="21" customHeight="1" x14ac:dyDescent="0.25">
      <c r="A17" s="2">
        <v>14</v>
      </c>
      <c r="B17" s="27"/>
      <c r="C17" s="27"/>
      <c r="D17" s="20"/>
      <c r="E17" s="12"/>
      <c r="F17" s="12"/>
      <c r="G17" s="12">
        <f t="shared" si="0"/>
        <v>0</v>
      </c>
      <c r="H17" s="13">
        <f>MROUND(H34,0.25)</f>
        <v>0</v>
      </c>
      <c r="I17" s="12">
        <f>MROUND(I34,0.25)</f>
        <v>0</v>
      </c>
      <c r="J17" s="12">
        <f>RANK(G17, $G$4:$G$33) + COUNTIF($G$4:G17, G17) - 1</f>
        <v>14</v>
      </c>
      <c r="K17" s="14"/>
      <c r="L17" s="14"/>
      <c r="M17" s="14">
        <f t="shared" si="1"/>
        <v>0</v>
      </c>
      <c r="N17" s="14">
        <f>MROUND(N34,0.25)</f>
        <v>0</v>
      </c>
      <c r="O17" s="14">
        <f>MROUND(O34,0.25)</f>
        <v>0</v>
      </c>
      <c r="P17" s="14">
        <f>RANK(M17, $M$4:$M$33) + COUNTIF($M$4:M17, M17) - 1</f>
        <v>14</v>
      </c>
      <c r="Q17" s="15"/>
      <c r="R17" s="15"/>
      <c r="S17" s="15">
        <f t="shared" si="7"/>
        <v>0</v>
      </c>
      <c r="T17" s="15">
        <f>MROUND(T34,0.25)</f>
        <v>0</v>
      </c>
      <c r="U17" s="15">
        <f>MROUND(U34,0.25)</f>
        <v>0</v>
      </c>
      <c r="V17" s="15">
        <f>RANK(S17, $S$4:$S$33) + COUNTIF($S$4:S17, S17) - 1</f>
        <v>14</v>
      </c>
      <c r="W17" s="16"/>
      <c r="X17" s="16"/>
      <c r="Y17" s="16">
        <f t="shared" si="3"/>
        <v>0</v>
      </c>
      <c r="Z17" s="16">
        <f>MROUND(Z34,0.25)</f>
        <v>0</v>
      </c>
      <c r="AA17" s="16">
        <f>MROUND(AA34,0.25)</f>
        <v>0</v>
      </c>
      <c r="AB17" s="16">
        <f>RANK(Y17, $Y$4:$Y$33) + COUNTIF($Y$4:Y17, Y17) - 1</f>
        <v>14</v>
      </c>
      <c r="AC17" s="17"/>
      <c r="AD17" s="17"/>
      <c r="AE17" s="17">
        <f t="shared" si="4"/>
        <v>0</v>
      </c>
      <c r="AF17" s="17">
        <f>MROUND(AF34,0.25)</f>
        <v>0</v>
      </c>
      <c r="AG17" s="17">
        <f>MROUND(AG34,0.25)</f>
        <v>0</v>
      </c>
      <c r="AH17" s="17">
        <f>RANK(AE17, $AE$4:$AE$33) + COUNTIF($AE$4:AE17, AE17) - 1</f>
        <v>14</v>
      </c>
      <c r="AI17" s="16"/>
      <c r="AJ17" s="16"/>
      <c r="AK17" s="18">
        <f t="shared" si="5"/>
        <v>0</v>
      </c>
      <c r="AL17" s="16">
        <f>MROUND(AL34,0.25)</f>
        <v>0</v>
      </c>
      <c r="AM17" s="16">
        <f>MROUND(AM34,0.25)</f>
        <v>0</v>
      </c>
      <c r="AN17" s="16">
        <f>RANK(AK17, $AK$4:$AK$33) + COUNTIF($AK$4:AK17, AK17) - 1</f>
        <v>14</v>
      </c>
      <c r="AO17" s="12"/>
      <c r="AP17" s="12"/>
      <c r="AQ17" s="12">
        <f t="shared" si="6"/>
        <v>0</v>
      </c>
      <c r="AR17" s="12">
        <f>MROUND(AR34,0.25)</f>
        <v>0</v>
      </c>
      <c r="AS17" s="12">
        <f>MROUND(AS34,0.25)</f>
        <v>0</v>
      </c>
      <c r="AT17" s="12">
        <f>RANK(AQ17, $AQ$4:$AQ$33) + COUNTIF($AQ$4:AQ17, AQ17) - 1</f>
        <v>14</v>
      </c>
      <c r="AU17" s="19">
        <f>ROUND(((G17+M17+S17+Y17+AE17+AK17+AQ17)/B35),2)</f>
        <v>0</v>
      </c>
      <c r="AV17" s="20">
        <f>RANK(AU17, $AU$4:$AU$33) + COUNTIF($AU$4:AU17, AU17) - 1</f>
        <v>14</v>
      </c>
    </row>
    <row r="18" spans="1:48" ht="21" customHeight="1" x14ac:dyDescent="0.25">
      <c r="A18" s="2">
        <v>15</v>
      </c>
      <c r="B18" s="27"/>
      <c r="C18" s="27"/>
      <c r="D18" s="20"/>
      <c r="E18" s="12"/>
      <c r="F18" s="12"/>
      <c r="G18" s="12">
        <f t="shared" si="0"/>
        <v>0</v>
      </c>
      <c r="H18" s="13">
        <f>MROUND(H34,0.25)</f>
        <v>0</v>
      </c>
      <c r="I18" s="12">
        <f>MROUND(I34,0.25)</f>
        <v>0</v>
      </c>
      <c r="J18" s="12">
        <f>RANK(G18, $G$4:$G$33) + COUNTIF($G$4:G18, G18) - 1</f>
        <v>15</v>
      </c>
      <c r="K18" s="14"/>
      <c r="L18" s="14"/>
      <c r="M18" s="14">
        <f t="shared" si="1"/>
        <v>0</v>
      </c>
      <c r="N18" s="14">
        <f>MROUND(N34,0.25)</f>
        <v>0</v>
      </c>
      <c r="O18" s="14">
        <f>MROUND(O34,0.25)</f>
        <v>0</v>
      </c>
      <c r="P18" s="14">
        <f>RANK(M18, $M$4:$M$33) + COUNTIF($M$4:M18, M18) - 1</f>
        <v>15</v>
      </c>
      <c r="Q18" s="15"/>
      <c r="R18" s="15"/>
      <c r="S18" s="15">
        <f t="shared" si="2"/>
        <v>0</v>
      </c>
      <c r="T18" s="15">
        <f>MROUND(T34,0.25)</f>
        <v>0</v>
      </c>
      <c r="U18" s="15">
        <f>MROUND(U34,0.25)</f>
        <v>0</v>
      </c>
      <c r="V18" s="15">
        <f>RANK(S18, $S$4:$S$33) + COUNTIF($S$4:S18, S18) - 1</f>
        <v>15</v>
      </c>
      <c r="W18" s="16"/>
      <c r="X18" s="16"/>
      <c r="Y18" s="16">
        <f t="shared" si="3"/>
        <v>0</v>
      </c>
      <c r="Z18" s="16">
        <f>MROUND(Z34,0.25)</f>
        <v>0</v>
      </c>
      <c r="AA18" s="16">
        <f>MROUND(AA34,0.25)</f>
        <v>0</v>
      </c>
      <c r="AB18" s="16">
        <f>RANK(Y18, $Y$4:$Y$33) + COUNTIF($Y$4:Y18, Y18) - 1</f>
        <v>15</v>
      </c>
      <c r="AC18" s="17"/>
      <c r="AD18" s="17"/>
      <c r="AE18" s="17">
        <f t="shared" si="4"/>
        <v>0</v>
      </c>
      <c r="AF18" s="17">
        <f>MROUND(AF34,0.25)</f>
        <v>0</v>
      </c>
      <c r="AG18" s="17">
        <f>MROUND(AG34,0.25)</f>
        <v>0</v>
      </c>
      <c r="AH18" s="17">
        <f>RANK(AE18, $AE$4:$AE$33) + COUNTIF($AE$4:AE18, AE18) - 1</f>
        <v>15</v>
      </c>
      <c r="AI18" s="16"/>
      <c r="AJ18" s="16"/>
      <c r="AK18" s="18">
        <f t="shared" si="5"/>
        <v>0</v>
      </c>
      <c r="AL18" s="16">
        <f>MROUND(AL34,0.25)</f>
        <v>0</v>
      </c>
      <c r="AM18" s="16">
        <f>MROUND(AM34,0.25)</f>
        <v>0</v>
      </c>
      <c r="AN18" s="16">
        <f>RANK(AK18, $AK$4:$AK$33) + COUNTIF($AK$4:AK18, AK18) - 1</f>
        <v>15</v>
      </c>
      <c r="AO18" s="12"/>
      <c r="AP18" s="12"/>
      <c r="AQ18" s="12">
        <f t="shared" si="6"/>
        <v>0</v>
      </c>
      <c r="AR18" s="12">
        <f>MROUND(AR34,0.25)</f>
        <v>0</v>
      </c>
      <c r="AS18" s="12">
        <f>MROUND(AS34,0.25)</f>
        <v>0</v>
      </c>
      <c r="AT18" s="12">
        <f>RANK(AQ18, $AQ$4:$AQ$33) + COUNTIF($AQ$4:AQ18, AQ18) - 1</f>
        <v>15</v>
      </c>
      <c r="AU18" s="19">
        <f>ROUND(((G18+M18+S18+Y18+AE18+AK18+AQ18)/B35),2)</f>
        <v>0</v>
      </c>
      <c r="AV18" s="20">
        <f>RANK(AU18, $AU$4:$AU$33) + COUNTIF($AU$4:AU18, AU18) - 1</f>
        <v>15</v>
      </c>
    </row>
    <row r="19" spans="1:48" ht="21" customHeight="1" x14ac:dyDescent="0.25">
      <c r="A19" s="2">
        <v>16</v>
      </c>
      <c r="B19" s="27"/>
      <c r="C19" s="27"/>
      <c r="D19" s="20"/>
      <c r="E19" s="12"/>
      <c r="F19" s="12"/>
      <c r="G19" s="12">
        <f t="shared" si="0"/>
        <v>0</v>
      </c>
      <c r="H19" s="13">
        <f>MROUND(H34,0.25)</f>
        <v>0</v>
      </c>
      <c r="I19" s="12">
        <f>MROUND(I34,0.25)</f>
        <v>0</v>
      </c>
      <c r="J19" s="12">
        <f>RANK(G19, $G$4:$G$33) + COUNTIF($G$4:G19, G19) - 1</f>
        <v>16</v>
      </c>
      <c r="K19" s="14"/>
      <c r="L19" s="14"/>
      <c r="M19" s="14">
        <f t="shared" si="1"/>
        <v>0</v>
      </c>
      <c r="N19" s="14">
        <f>MROUND(N34,0.25)</f>
        <v>0</v>
      </c>
      <c r="O19" s="14">
        <f>MROUND(O34,0.25)</f>
        <v>0</v>
      </c>
      <c r="P19" s="14">
        <f>RANK(M19, $M$4:$M$33) + COUNTIF($M$4:M19, M19) - 1</f>
        <v>16</v>
      </c>
      <c r="Q19" s="15"/>
      <c r="R19" s="15"/>
      <c r="S19" s="15">
        <f t="shared" si="2"/>
        <v>0</v>
      </c>
      <c r="T19" s="15">
        <f>MROUND(T34,0.25)</f>
        <v>0</v>
      </c>
      <c r="U19" s="15">
        <f>MROUND(U34,0.25)</f>
        <v>0</v>
      </c>
      <c r="V19" s="15">
        <f>RANK(S19, $S$4:$S$33) + COUNTIF($S$4:S19, S19) - 1</f>
        <v>16</v>
      </c>
      <c r="W19" s="16"/>
      <c r="X19" s="16"/>
      <c r="Y19" s="16">
        <f>(W19+X19)/2</f>
        <v>0</v>
      </c>
      <c r="Z19" s="16">
        <f>MROUND(Z34,0.25)</f>
        <v>0</v>
      </c>
      <c r="AA19" s="16">
        <f>MROUND(AA34,0.25)</f>
        <v>0</v>
      </c>
      <c r="AB19" s="16">
        <f>RANK(Y19, $Y$4:$Y$33) + COUNTIF($Y$4:Y19, Y19) - 1</f>
        <v>16</v>
      </c>
      <c r="AC19" s="17"/>
      <c r="AD19" s="17"/>
      <c r="AE19" s="17">
        <f t="shared" si="4"/>
        <v>0</v>
      </c>
      <c r="AF19" s="17">
        <f>MROUND(AF34,0.25)</f>
        <v>0</v>
      </c>
      <c r="AG19" s="17">
        <f>MROUND(AG34,0.25)</f>
        <v>0</v>
      </c>
      <c r="AH19" s="17">
        <f>RANK(AE19, $AE$4:$AE$33) + COUNTIF($AE$4:AE19, AE19) - 1</f>
        <v>16</v>
      </c>
      <c r="AI19" s="16"/>
      <c r="AJ19" s="16"/>
      <c r="AK19" s="18">
        <f t="shared" si="5"/>
        <v>0</v>
      </c>
      <c r="AL19" s="16">
        <f>MROUND(AL34,0.25)</f>
        <v>0</v>
      </c>
      <c r="AM19" s="16">
        <f>MROUND(AM34,0.25)</f>
        <v>0</v>
      </c>
      <c r="AN19" s="16">
        <f>RANK(AK19, $AK$4:$AK$33) + COUNTIF($AK$4:AK19, AK19) - 1</f>
        <v>16</v>
      </c>
      <c r="AO19" s="12"/>
      <c r="AP19" s="12"/>
      <c r="AQ19" s="12">
        <f t="shared" si="6"/>
        <v>0</v>
      </c>
      <c r="AR19" s="12">
        <f>MROUND(AR34,0.25)</f>
        <v>0</v>
      </c>
      <c r="AS19" s="12">
        <f>MROUND(AS34,0.25)</f>
        <v>0</v>
      </c>
      <c r="AT19" s="12">
        <f>RANK(AQ19, $AQ$4:$AQ$33) + COUNTIF($AQ$4:AQ19, AQ19) - 1</f>
        <v>16</v>
      </c>
      <c r="AU19" s="19">
        <f>ROUND(((G19+M19+S19+Y19+AE19+AK19+AQ19)/B35),2)</f>
        <v>0</v>
      </c>
      <c r="AV19" s="20">
        <f>RANK(AU19, $AU$4:$AU$33) + COUNTIF($AU$4:AU19, AU19) - 1</f>
        <v>16</v>
      </c>
    </row>
    <row r="20" spans="1:48" ht="21" customHeight="1" x14ac:dyDescent="0.25">
      <c r="A20" s="2">
        <v>17</v>
      </c>
      <c r="B20" s="27"/>
      <c r="C20" s="27"/>
      <c r="D20" s="20"/>
      <c r="E20" s="12"/>
      <c r="F20" s="12"/>
      <c r="G20" s="12">
        <f t="shared" si="0"/>
        <v>0</v>
      </c>
      <c r="H20" s="13">
        <f>MROUND(H34,0.25)</f>
        <v>0</v>
      </c>
      <c r="I20" s="12">
        <f>MROUND(I34,0.25)</f>
        <v>0</v>
      </c>
      <c r="J20" s="12">
        <f>RANK(G20, $G$4:$G$33) + COUNTIF($G$4:G20, G20) - 1</f>
        <v>17</v>
      </c>
      <c r="K20" s="14"/>
      <c r="L20" s="14"/>
      <c r="M20" s="14">
        <f t="shared" si="1"/>
        <v>0</v>
      </c>
      <c r="N20" s="14">
        <f>MROUND(N34,0.25)</f>
        <v>0</v>
      </c>
      <c r="O20" s="14">
        <f>MROUND(O34,0.25)</f>
        <v>0</v>
      </c>
      <c r="P20" s="14">
        <f>RANK(M20, $M$4:$M$33) + COUNTIF($M$4:M20, M20) - 1</f>
        <v>17</v>
      </c>
      <c r="Q20" s="15"/>
      <c r="R20" s="15"/>
      <c r="S20" s="15">
        <f t="shared" si="2"/>
        <v>0</v>
      </c>
      <c r="T20" s="15">
        <f>MROUND(T34,0.25)</f>
        <v>0</v>
      </c>
      <c r="U20" s="15">
        <f>MROUND(U34,0.25)</f>
        <v>0</v>
      </c>
      <c r="V20" s="15">
        <f>RANK(S20, $S$4:$S$33) + COUNTIF($S$4:S20, S20) - 1</f>
        <v>17</v>
      </c>
      <c r="W20" s="16"/>
      <c r="X20" s="16"/>
      <c r="Y20" s="16">
        <f>(W20+X20)/2</f>
        <v>0</v>
      </c>
      <c r="Z20" s="16">
        <f>MROUND(Z34,0.25)</f>
        <v>0</v>
      </c>
      <c r="AA20" s="16">
        <f>MROUND(AA34,0.25)</f>
        <v>0</v>
      </c>
      <c r="AB20" s="16">
        <f>RANK(Y20, $Y$4:$Y$33) + COUNTIF($Y$4:Y20, Y20) - 1</f>
        <v>17</v>
      </c>
      <c r="AC20" s="17"/>
      <c r="AD20" s="17"/>
      <c r="AE20" s="17">
        <f t="shared" si="4"/>
        <v>0</v>
      </c>
      <c r="AF20" s="17">
        <f>MROUND(AF34,0.25)</f>
        <v>0</v>
      </c>
      <c r="AG20" s="17">
        <f>MROUND(AG34,0.25)</f>
        <v>0</v>
      </c>
      <c r="AH20" s="17">
        <f>RANK(AE20, $AE$4:$AE$33) + COUNTIF($AE$4:AE20, AE20) - 1</f>
        <v>17</v>
      </c>
      <c r="AI20" s="16"/>
      <c r="AJ20" s="16"/>
      <c r="AK20" s="18">
        <f t="shared" si="5"/>
        <v>0</v>
      </c>
      <c r="AL20" s="16">
        <f>MROUND(AL34,0.25)</f>
        <v>0</v>
      </c>
      <c r="AM20" s="16">
        <f>MROUND(AM34,0.25)</f>
        <v>0</v>
      </c>
      <c r="AN20" s="16">
        <f>RANK(AK20, $AK$4:$AK$33) + COUNTIF($AK$4:AK20, AK20) - 1</f>
        <v>17</v>
      </c>
      <c r="AO20" s="12"/>
      <c r="AP20" s="12"/>
      <c r="AQ20" s="12">
        <f t="shared" si="6"/>
        <v>0</v>
      </c>
      <c r="AR20" s="12">
        <f>MROUND(AR34,0.25)</f>
        <v>0</v>
      </c>
      <c r="AS20" s="12">
        <f>MROUND(AS34,0.25)</f>
        <v>0</v>
      </c>
      <c r="AT20" s="12">
        <f>RANK(AQ20, $AQ$4:$AQ$33) + COUNTIF($AQ$4:AQ20, AQ20) - 1</f>
        <v>17</v>
      </c>
      <c r="AU20" s="19">
        <f>ROUND(((G20+M20+S20+Y20+AE20+AK20+AQ20)/B35),2)</f>
        <v>0</v>
      </c>
      <c r="AV20" s="20">
        <f>RANK(AU20, $AU$4:$AU$33) + COUNTIF($AU$4:AU20, AU20) - 1</f>
        <v>17</v>
      </c>
    </row>
    <row r="21" spans="1:48" ht="21" customHeight="1" x14ac:dyDescent="0.25">
      <c r="A21" s="2">
        <v>18</v>
      </c>
      <c r="B21" s="27"/>
      <c r="C21" s="27"/>
      <c r="D21" s="20"/>
      <c r="E21" s="12"/>
      <c r="F21" s="12"/>
      <c r="G21" s="12">
        <f t="shared" si="0"/>
        <v>0</v>
      </c>
      <c r="H21" s="13">
        <f>MROUND(H34,0.25)</f>
        <v>0</v>
      </c>
      <c r="I21" s="12">
        <f>MROUND(I34,0.25)</f>
        <v>0</v>
      </c>
      <c r="J21" s="12">
        <f>RANK(G21, $G$4:$G$33) + COUNTIF($G$4:G21, G21) - 1</f>
        <v>18</v>
      </c>
      <c r="K21" s="14"/>
      <c r="L21" s="14"/>
      <c r="M21" s="14">
        <f t="shared" si="1"/>
        <v>0</v>
      </c>
      <c r="N21" s="14">
        <f>MROUND(N34,0.25)</f>
        <v>0</v>
      </c>
      <c r="O21" s="14">
        <f>MROUND(O34,0.25)</f>
        <v>0</v>
      </c>
      <c r="P21" s="14">
        <f>RANK(M21, $M$4:$M$33) + COUNTIF($M$4:M21, M21) - 1</f>
        <v>18</v>
      </c>
      <c r="Q21" s="15"/>
      <c r="R21" s="15"/>
      <c r="S21" s="15">
        <f t="shared" si="2"/>
        <v>0</v>
      </c>
      <c r="T21" s="15">
        <f>MROUND(T34,0.25)</f>
        <v>0</v>
      </c>
      <c r="U21" s="15">
        <f>MROUND(U34,0.25)</f>
        <v>0</v>
      </c>
      <c r="V21" s="15">
        <f>RANK(S21, $S$4:$S$33) + COUNTIF($S$4:S21, S21) - 1</f>
        <v>18</v>
      </c>
      <c r="W21" s="16"/>
      <c r="X21" s="16"/>
      <c r="Y21" s="16">
        <f>(W21+X21)/2</f>
        <v>0</v>
      </c>
      <c r="Z21" s="16">
        <f>MROUND(Z34,0.25)</f>
        <v>0</v>
      </c>
      <c r="AA21" s="16">
        <f>MROUND(AA34,0.25)</f>
        <v>0</v>
      </c>
      <c r="AB21" s="16">
        <f>RANK(Y21, $Y$4:$Y$33) + COUNTIF($Y$4:Y21, Y21) - 1</f>
        <v>18</v>
      </c>
      <c r="AC21" s="17"/>
      <c r="AD21" s="17"/>
      <c r="AE21" s="17">
        <f t="shared" si="4"/>
        <v>0</v>
      </c>
      <c r="AF21" s="17">
        <f>MROUND(AF34,0.25)</f>
        <v>0</v>
      </c>
      <c r="AG21" s="17">
        <f>MROUND(AG34,0.25)</f>
        <v>0</v>
      </c>
      <c r="AH21" s="17">
        <f>RANK(AE21, $AE$4:$AE$33) + COUNTIF($AE$4:AE21, AE21) - 1</f>
        <v>18</v>
      </c>
      <c r="AI21" s="16"/>
      <c r="AJ21" s="16"/>
      <c r="AK21" s="18">
        <f t="shared" si="5"/>
        <v>0</v>
      </c>
      <c r="AL21" s="16">
        <f>MROUND(AL34,0.25)</f>
        <v>0</v>
      </c>
      <c r="AM21" s="16">
        <f>MROUND(AM34,0.25)</f>
        <v>0</v>
      </c>
      <c r="AN21" s="16">
        <f>RANK(AK21, $AK$4:$AK$33) + COUNTIF($AK$4:AK21, AK21) - 1</f>
        <v>18</v>
      </c>
      <c r="AO21" s="12"/>
      <c r="AP21" s="12"/>
      <c r="AQ21" s="12">
        <f t="shared" si="6"/>
        <v>0</v>
      </c>
      <c r="AR21" s="12">
        <f>MROUND(AR34,0.25)</f>
        <v>0</v>
      </c>
      <c r="AS21" s="12">
        <f>MROUND(AS34,0.25)</f>
        <v>0</v>
      </c>
      <c r="AT21" s="12">
        <f>RANK(AQ21, $AQ$4:$AQ$33) + COUNTIF($AQ$4:AQ21, AQ21) - 1</f>
        <v>18</v>
      </c>
      <c r="AU21" s="19">
        <f>ROUND(((G21+M21+S21+Y21+AE21+AK21+AQ21)/B35),2)</f>
        <v>0</v>
      </c>
      <c r="AV21" s="20">
        <f>RANK(AU21, $AU$4:$AU$33) + COUNTIF($AU$4:AU21, AU21) - 1</f>
        <v>18</v>
      </c>
    </row>
    <row r="22" spans="1:48" ht="21" customHeight="1" x14ac:dyDescent="0.25">
      <c r="A22" s="2">
        <v>19</v>
      </c>
      <c r="B22" s="27"/>
      <c r="C22" s="27"/>
      <c r="D22" s="20"/>
      <c r="E22" s="12"/>
      <c r="F22" s="12"/>
      <c r="G22" s="12">
        <f t="shared" si="0"/>
        <v>0</v>
      </c>
      <c r="H22" s="13">
        <f>MROUND(H34,0.25)</f>
        <v>0</v>
      </c>
      <c r="I22" s="12">
        <f>MROUND(I34,0.25)</f>
        <v>0</v>
      </c>
      <c r="J22" s="12">
        <f>RANK(G22, $G$4:$G$33) + COUNTIF($G$4:G22, G22) - 1</f>
        <v>19</v>
      </c>
      <c r="K22" s="14"/>
      <c r="L22" s="14"/>
      <c r="M22" s="14">
        <f t="shared" si="1"/>
        <v>0</v>
      </c>
      <c r="N22" s="14">
        <f>MROUND(N34,0.25)</f>
        <v>0</v>
      </c>
      <c r="O22" s="14">
        <f>MROUND(O34,0.25)</f>
        <v>0</v>
      </c>
      <c r="P22" s="14">
        <f>RANK(M22, $M$4:$M$33) + COUNTIF($M$4:M22, M22) - 1</f>
        <v>19</v>
      </c>
      <c r="Q22" s="15"/>
      <c r="R22" s="15"/>
      <c r="S22" s="15">
        <f t="shared" si="2"/>
        <v>0</v>
      </c>
      <c r="T22" s="15">
        <f>MROUND(T34,0.25)</f>
        <v>0</v>
      </c>
      <c r="U22" s="15">
        <f>MROUND(U34,0.25)</f>
        <v>0</v>
      </c>
      <c r="V22" s="15">
        <f>RANK(S22, $S$4:$S$33) + COUNTIF($S$4:S22, S22) - 1</f>
        <v>19</v>
      </c>
      <c r="W22" s="16"/>
      <c r="X22" s="16"/>
      <c r="Y22" s="16">
        <f t="shared" si="3"/>
        <v>0</v>
      </c>
      <c r="Z22" s="16">
        <f>MROUND(Z34,0.25)</f>
        <v>0</v>
      </c>
      <c r="AA22" s="16">
        <f>MROUND(AA34,0.25)</f>
        <v>0</v>
      </c>
      <c r="AB22" s="16">
        <f>RANK(Y22, $Y$4:$Y$33) + COUNTIF($Y$4:Y22, Y22) - 1</f>
        <v>19</v>
      </c>
      <c r="AC22" s="17"/>
      <c r="AD22" s="17"/>
      <c r="AE22" s="17">
        <f t="shared" si="4"/>
        <v>0</v>
      </c>
      <c r="AF22" s="17">
        <f>MROUND(AF34,0.25)</f>
        <v>0</v>
      </c>
      <c r="AG22" s="17">
        <f>MROUND(AG34,0.25)</f>
        <v>0</v>
      </c>
      <c r="AH22" s="17">
        <f>RANK(AE22, $AE$4:$AE$33) + COUNTIF($AE$4:AE22, AE22) - 1</f>
        <v>19</v>
      </c>
      <c r="AI22" s="16"/>
      <c r="AJ22" s="16"/>
      <c r="AK22" s="18">
        <f t="shared" si="5"/>
        <v>0</v>
      </c>
      <c r="AL22" s="16">
        <f>MROUND(AL34,0.25)</f>
        <v>0</v>
      </c>
      <c r="AM22" s="16">
        <f>MROUND(AM34,0.25)</f>
        <v>0</v>
      </c>
      <c r="AN22" s="16">
        <f>RANK(AK22, $AK$4:$AK$33) + COUNTIF($AK$4:AK22, AK22) - 1</f>
        <v>19</v>
      </c>
      <c r="AO22" s="12"/>
      <c r="AP22" s="12"/>
      <c r="AQ22" s="12">
        <f t="shared" si="6"/>
        <v>0</v>
      </c>
      <c r="AR22" s="12">
        <f>MROUND(AR34,0.25)</f>
        <v>0</v>
      </c>
      <c r="AS22" s="12">
        <f>MROUND(AS34,0.25)</f>
        <v>0</v>
      </c>
      <c r="AT22" s="12">
        <f>RANK(AQ22, $AQ$4:$AQ$33) + COUNTIF($AQ$4:AQ22, AQ22) - 1</f>
        <v>19</v>
      </c>
      <c r="AU22" s="19">
        <f>ROUND(((G22+M22+S22+Y22+AE22+AK22+AQ22)/B35),2)</f>
        <v>0</v>
      </c>
      <c r="AV22" s="20">
        <f>RANK(AU22, $AU$4:$AU$33) + COUNTIF($AU$4:AU22, AU22) - 1</f>
        <v>19</v>
      </c>
    </row>
    <row r="23" spans="1:48" ht="21" customHeight="1" x14ac:dyDescent="0.25">
      <c r="A23" s="2">
        <v>20</v>
      </c>
      <c r="B23" s="27"/>
      <c r="C23" s="27"/>
      <c r="D23" s="20"/>
      <c r="E23" s="12"/>
      <c r="F23" s="12"/>
      <c r="G23" s="12">
        <f t="shared" si="0"/>
        <v>0</v>
      </c>
      <c r="H23" s="13">
        <f>MROUND(H34,0.25)</f>
        <v>0</v>
      </c>
      <c r="I23" s="12">
        <f>MROUND(I34,0.25)</f>
        <v>0</v>
      </c>
      <c r="J23" s="12">
        <f>RANK(G23, $G$4:$G$33) + COUNTIF($G$4:G23, G23) - 1</f>
        <v>20</v>
      </c>
      <c r="K23" s="14"/>
      <c r="L23" s="14"/>
      <c r="M23" s="14">
        <f t="shared" si="1"/>
        <v>0</v>
      </c>
      <c r="N23" s="14">
        <f>MROUND(N34,0.25)</f>
        <v>0</v>
      </c>
      <c r="O23" s="14">
        <f>MROUND(O34,0.25)</f>
        <v>0</v>
      </c>
      <c r="P23" s="14">
        <f>RANK(M23, $M$4:$M$33) + COUNTIF($M$4:M23, M23) - 1</f>
        <v>20</v>
      </c>
      <c r="Q23" s="15"/>
      <c r="R23" s="15"/>
      <c r="S23" s="15">
        <f t="shared" si="2"/>
        <v>0</v>
      </c>
      <c r="T23" s="15">
        <f>MROUND(T34,0.25)</f>
        <v>0</v>
      </c>
      <c r="U23" s="15">
        <f>MROUND(U34,0.25)</f>
        <v>0</v>
      </c>
      <c r="V23" s="15">
        <f>RANK(S23, $S$4:$S$33) + COUNTIF($S$4:S23, S23) - 1</f>
        <v>20</v>
      </c>
      <c r="W23" s="16"/>
      <c r="X23" s="16"/>
      <c r="Y23" s="16">
        <f t="shared" si="3"/>
        <v>0</v>
      </c>
      <c r="Z23" s="16">
        <f>MROUND(Z34,0.25)</f>
        <v>0</v>
      </c>
      <c r="AA23" s="16">
        <f>MROUND(AA34,0.25)</f>
        <v>0</v>
      </c>
      <c r="AB23" s="16">
        <f>RANK(Y23, $Y$4:$Y$33) + COUNTIF($Y$4:Y23, Y23) - 1</f>
        <v>20</v>
      </c>
      <c r="AC23" s="17"/>
      <c r="AD23" s="17"/>
      <c r="AE23" s="17">
        <f t="shared" si="4"/>
        <v>0</v>
      </c>
      <c r="AF23" s="17">
        <f>MROUND(AF34,0.25)</f>
        <v>0</v>
      </c>
      <c r="AG23" s="17">
        <f>MROUND(AG34,0.25)</f>
        <v>0</v>
      </c>
      <c r="AH23" s="17">
        <f>RANK(AE23, $AE$4:$AE$33) + COUNTIF($AE$4:AE23, AE23) - 1</f>
        <v>20</v>
      </c>
      <c r="AI23" s="16"/>
      <c r="AJ23" s="16"/>
      <c r="AK23" s="18">
        <f t="shared" si="5"/>
        <v>0</v>
      </c>
      <c r="AL23" s="16">
        <f>MROUND(AL34,0.25)</f>
        <v>0</v>
      </c>
      <c r="AM23" s="16">
        <f>MROUND(AM34,0.25)</f>
        <v>0</v>
      </c>
      <c r="AN23" s="16">
        <f>RANK(AK23, $AK$4:$AK$33) + COUNTIF($AK$4:AK23, AK23) - 1</f>
        <v>20</v>
      </c>
      <c r="AO23" s="12"/>
      <c r="AP23" s="12"/>
      <c r="AQ23" s="12">
        <f t="shared" si="6"/>
        <v>0</v>
      </c>
      <c r="AR23" s="12">
        <f>MROUND(AR34,0.25)</f>
        <v>0</v>
      </c>
      <c r="AS23" s="12">
        <f>MROUND(AS34,0.25)</f>
        <v>0</v>
      </c>
      <c r="AT23" s="12">
        <f>RANK(AQ23, $AQ$4:$AQ$33) + COUNTIF($AQ$4:AQ23, AQ23) - 1</f>
        <v>20</v>
      </c>
      <c r="AU23" s="19">
        <f>ROUND(((G23+M23+S23+Y23+AE23+AK23+AQ23)/B35),2)</f>
        <v>0</v>
      </c>
      <c r="AV23" s="20">
        <f>RANK(AU23, $AU$4:$AU$33) + COUNTIF($AU$4:AU23, AU23) - 1</f>
        <v>20</v>
      </c>
    </row>
    <row r="24" spans="1:48" ht="21" customHeight="1" x14ac:dyDescent="0.25">
      <c r="A24" s="2">
        <v>21</v>
      </c>
      <c r="B24" s="27"/>
      <c r="C24" s="27"/>
      <c r="D24" s="20"/>
      <c r="E24" s="12"/>
      <c r="F24" s="12"/>
      <c r="G24" s="12">
        <f t="shared" si="0"/>
        <v>0</v>
      </c>
      <c r="H24" s="13">
        <f>MROUND(H34,0.25)</f>
        <v>0</v>
      </c>
      <c r="I24" s="12">
        <f>MROUND(I34,0.25)</f>
        <v>0</v>
      </c>
      <c r="J24" s="12">
        <f>RANK(G24, $G$4:$G$33) + COUNTIF($G$4:G24, G24) - 1</f>
        <v>21</v>
      </c>
      <c r="K24" s="14"/>
      <c r="L24" s="14"/>
      <c r="M24" s="14">
        <f t="shared" si="1"/>
        <v>0</v>
      </c>
      <c r="N24" s="14">
        <f>MROUND(N34,0.25)</f>
        <v>0</v>
      </c>
      <c r="O24" s="14">
        <f>MROUND(O34,0.25)</f>
        <v>0</v>
      </c>
      <c r="P24" s="14">
        <f>RANK(M24, $M$4:$M$33) + COUNTIF($M$4:M24, M24) - 1</f>
        <v>21</v>
      </c>
      <c r="Q24" s="15"/>
      <c r="R24" s="15"/>
      <c r="S24" s="15">
        <f t="shared" si="2"/>
        <v>0</v>
      </c>
      <c r="T24" s="15">
        <f>MROUND(T34,0.25)</f>
        <v>0</v>
      </c>
      <c r="U24" s="15">
        <f>MROUND(U34,0.25)</f>
        <v>0</v>
      </c>
      <c r="V24" s="15">
        <f>RANK(S24, $S$4:$S$33) + COUNTIF($S$4:S24, S24) - 1</f>
        <v>21</v>
      </c>
      <c r="W24" s="16"/>
      <c r="X24" s="16"/>
      <c r="Y24" s="16">
        <f t="shared" si="3"/>
        <v>0</v>
      </c>
      <c r="Z24" s="16">
        <f>MROUND(Z34,0.25)</f>
        <v>0</v>
      </c>
      <c r="AA24" s="16">
        <f>MROUND(AA34,0.25)</f>
        <v>0</v>
      </c>
      <c r="AB24" s="16">
        <f>RANK(Y24, $Y$4:$Y$33) + COUNTIF($Y$4:Y24, Y24) - 1</f>
        <v>21</v>
      </c>
      <c r="AC24" s="17"/>
      <c r="AD24" s="17"/>
      <c r="AE24" s="17">
        <f t="shared" si="4"/>
        <v>0</v>
      </c>
      <c r="AF24" s="17">
        <f>MROUND(AF34,0.25)</f>
        <v>0</v>
      </c>
      <c r="AG24" s="17">
        <f>MROUND(AG34,0.25)</f>
        <v>0</v>
      </c>
      <c r="AH24" s="17">
        <f>RANK(AE24, $AE$4:$AE$33) + COUNTIF($AE$4:AE24, AE24) - 1</f>
        <v>21</v>
      </c>
      <c r="AI24" s="16"/>
      <c r="AJ24" s="16"/>
      <c r="AK24" s="18">
        <f t="shared" si="5"/>
        <v>0</v>
      </c>
      <c r="AL24" s="16">
        <f>MROUND(AL34,0.25)</f>
        <v>0</v>
      </c>
      <c r="AM24" s="16">
        <f>MROUND(AM34,0.25)</f>
        <v>0</v>
      </c>
      <c r="AN24" s="16">
        <f>RANK(AK24, $AK$4:$AK$33) + COUNTIF($AK$4:AK24, AK24) - 1</f>
        <v>21</v>
      </c>
      <c r="AO24" s="12"/>
      <c r="AP24" s="12"/>
      <c r="AQ24" s="12">
        <f t="shared" si="6"/>
        <v>0</v>
      </c>
      <c r="AR24" s="12">
        <f>MROUND(AR34,0.25)</f>
        <v>0</v>
      </c>
      <c r="AS24" s="12">
        <f>MROUND(AS34,0.25)</f>
        <v>0</v>
      </c>
      <c r="AT24" s="12">
        <f>RANK(AQ24, $AQ$4:$AQ$33) + COUNTIF($AQ$4:AQ24, AQ24) - 1</f>
        <v>21</v>
      </c>
      <c r="AU24" s="19">
        <f>ROUND(((G24+M24+S24+Y24+AE24+AK24+AQ24)/B35),2)</f>
        <v>0</v>
      </c>
      <c r="AV24" s="20">
        <f>RANK(AU24, $AU$4:$AU$33) + COUNTIF($AU$4:AU24, AU24) - 1</f>
        <v>21</v>
      </c>
    </row>
    <row r="25" spans="1:48" ht="21" customHeight="1" x14ac:dyDescent="0.25">
      <c r="A25" s="2">
        <v>22</v>
      </c>
      <c r="B25" s="27"/>
      <c r="C25" s="27"/>
      <c r="D25" s="20"/>
      <c r="E25" s="12"/>
      <c r="F25" s="12"/>
      <c r="G25" s="12">
        <f t="shared" si="0"/>
        <v>0</v>
      </c>
      <c r="H25" s="13">
        <f>MROUND(H34,0.25)</f>
        <v>0</v>
      </c>
      <c r="I25" s="12">
        <f>MROUND(I34,0.25)</f>
        <v>0</v>
      </c>
      <c r="J25" s="12">
        <f>RANK(G25, $G$4:$G$33) + COUNTIF($G$4:G25, G25) - 1</f>
        <v>22</v>
      </c>
      <c r="K25" s="14"/>
      <c r="L25" s="14"/>
      <c r="M25" s="14">
        <f t="shared" si="1"/>
        <v>0</v>
      </c>
      <c r="N25" s="14">
        <f>MROUND(N34,0.25)</f>
        <v>0</v>
      </c>
      <c r="O25" s="14">
        <f>MROUND(O34,0.25)</f>
        <v>0</v>
      </c>
      <c r="P25" s="14">
        <f>RANK(M25, $M$4:$M$33) + COUNTIF($M$4:M25, M25) - 1</f>
        <v>22</v>
      </c>
      <c r="Q25" s="15"/>
      <c r="R25" s="15"/>
      <c r="S25" s="15">
        <f t="shared" si="2"/>
        <v>0</v>
      </c>
      <c r="T25" s="15">
        <f>MROUND(T34,0.25)</f>
        <v>0</v>
      </c>
      <c r="U25" s="15">
        <f>MROUND(U34,0.25)</f>
        <v>0</v>
      </c>
      <c r="V25" s="15">
        <f>RANK(S25, $S$4:$S$33) + COUNTIF($S$4:S25, S25) - 1</f>
        <v>22</v>
      </c>
      <c r="W25" s="16"/>
      <c r="X25" s="16"/>
      <c r="Y25" s="16">
        <f t="shared" si="3"/>
        <v>0</v>
      </c>
      <c r="Z25" s="16">
        <f>MROUND(Z34,0.25)</f>
        <v>0</v>
      </c>
      <c r="AA25" s="16">
        <f>MROUND(AA34,0.25)</f>
        <v>0</v>
      </c>
      <c r="AB25" s="16">
        <f>RANK(Y25, $Y$4:$Y$33) + COUNTIF($Y$4:Y25, Y25) - 1</f>
        <v>22</v>
      </c>
      <c r="AC25" s="17"/>
      <c r="AD25" s="17"/>
      <c r="AE25" s="17">
        <f t="shared" si="4"/>
        <v>0</v>
      </c>
      <c r="AF25" s="17">
        <f>MROUND(AF34,0.25)</f>
        <v>0</v>
      </c>
      <c r="AG25" s="17">
        <f>MROUND(AG34,0.25)</f>
        <v>0</v>
      </c>
      <c r="AH25" s="17">
        <f>RANK(AE25, $AE$4:$AE$33) + COUNTIF($AE$4:AE25, AE25) - 1</f>
        <v>22</v>
      </c>
      <c r="AI25" s="16"/>
      <c r="AJ25" s="16"/>
      <c r="AK25" s="18">
        <f t="shared" si="5"/>
        <v>0</v>
      </c>
      <c r="AL25" s="16">
        <f>MROUND(AL34,0.25)</f>
        <v>0</v>
      </c>
      <c r="AM25" s="16">
        <f>MROUND(AM34,0.25)</f>
        <v>0</v>
      </c>
      <c r="AN25" s="16">
        <f>RANK(AK25, $AK$4:$AK$33) + COUNTIF($AK$4:AK25, AK25) - 1</f>
        <v>22</v>
      </c>
      <c r="AO25" s="12"/>
      <c r="AP25" s="12"/>
      <c r="AQ25" s="12">
        <f t="shared" si="6"/>
        <v>0</v>
      </c>
      <c r="AR25" s="12">
        <f>MROUND(AR34,0.25)</f>
        <v>0</v>
      </c>
      <c r="AS25" s="12">
        <f>MROUND(AS34,0.25)</f>
        <v>0</v>
      </c>
      <c r="AT25" s="12">
        <f>RANK(AQ25, $AQ$4:$AQ$33) + COUNTIF($AQ$4:AQ25, AQ25) - 1</f>
        <v>22</v>
      </c>
      <c r="AU25" s="19">
        <f>ROUND(((G25+M25+S25+Y25+AE25+AK25+AQ25)/B35),2)</f>
        <v>0</v>
      </c>
      <c r="AV25" s="20">
        <f>RANK(AU25, $AU$4:$AU$33) + COUNTIF($AU$4:AU25, AU25) - 1</f>
        <v>22</v>
      </c>
    </row>
    <row r="26" spans="1:48" ht="21" customHeight="1" x14ac:dyDescent="0.25">
      <c r="A26" s="2">
        <v>23</v>
      </c>
      <c r="B26" s="27"/>
      <c r="C26" s="27"/>
      <c r="D26" s="20"/>
      <c r="E26" s="12"/>
      <c r="F26" s="12"/>
      <c r="G26" s="12">
        <f t="shared" si="0"/>
        <v>0</v>
      </c>
      <c r="H26" s="13">
        <f>MROUND(H34,0.25)</f>
        <v>0</v>
      </c>
      <c r="I26" s="12">
        <f>MROUND(I34,0.25)</f>
        <v>0</v>
      </c>
      <c r="J26" s="12">
        <f>RANK(G26, $G$4:$G$33) + COUNTIF($G$4:G26, G26) - 1</f>
        <v>23</v>
      </c>
      <c r="K26" s="14"/>
      <c r="L26" s="14"/>
      <c r="M26" s="14">
        <f t="shared" si="1"/>
        <v>0</v>
      </c>
      <c r="N26" s="14">
        <f>MROUND(N34,0.25)</f>
        <v>0</v>
      </c>
      <c r="O26" s="14">
        <f>MROUND(O34,0.25)</f>
        <v>0</v>
      </c>
      <c r="P26" s="14">
        <f>RANK(M26, $M$4:$M$33) + COUNTIF($M$4:M26, M26) - 1</f>
        <v>23</v>
      </c>
      <c r="Q26" s="15"/>
      <c r="R26" s="15"/>
      <c r="S26" s="15">
        <f t="shared" si="2"/>
        <v>0</v>
      </c>
      <c r="T26" s="15">
        <f>MROUND(T34,0.25)</f>
        <v>0</v>
      </c>
      <c r="U26" s="15">
        <f>MROUND(U34,0.25)</f>
        <v>0</v>
      </c>
      <c r="V26" s="15">
        <f>RANK(S26, $S$4:$S$33) + COUNTIF($S$4:S26, S26) - 1</f>
        <v>23</v>
      </c>
      <c r="W26" s="16"/>
      <c r="X26" s="16"/>
      <c r="Y26" s="16">
        <f t="shared" si="3"/>
        <v>0</v>
      </c>
      <c r="Z26" s="16">
        <f>MROUND(Z34,0.25)</f>
        <v>0</v>
      </c>
      <c r="AA26" s="16">
        <f>MROUND(AA34,0.25)</f>
        <v>0</v>
      </c>
      <c r="AB26" s="16">
        <f>RANK(Y26, $Y$4:$Y$33) + COUNTIF($Y$4:Y26, Y26) - 1</f>
        <v>23</v>
      </c>
      <c r="AC26" s="17"/>
      <c r="AD26" s="17"/>
      <c r="AE26" s="17">
        <f t="shared" si="4"/>
        <v>0</v>
      </c>
      <c r="AF26" s="17">
        <f>MROUND(AF34,0.25)</f>
        <v>0</v>
      </c>
      <c r="AG26" s="17">
        <f>MROUND(AG34,0.25)</f>
        <v>0</v>
      </c>
      <c r="AH26" s="17">
        <f>RANK(AE26, $AE$4:$AE$33) + COUNTIF($AE$4:AE26, AE26) - 1</f>
        <v>23</v>
      </c>
      <c r="AI26" s="16"/>
      <c r="AJ26" s="16"/>
      <c r="AK26" s="18">
        <f t="shared" si="5"/>
        <v>0</v>
      </c>
      <c r="AL26" s="16">
        <f>MROUND(AL34,0.25)</f>
        <v>0</v>
      </c>
      <c r="AM26" s="16">
        <f>MROUND(AM34,0.25)</f>
        <v>0</v>
      </c>
      <c r="AN26" s="16">
        <f>RANK(AK26, $AK$4:$AK$33) + COUNTIF($AK$4:AK26, AK26) - 1</f>
        <v>23</v>
      </c>
      <c r="AO26" s="12"/>
      <c r="AP26" s="12"/>
      <c r="AQ26" s="12">
        <f t="shared" si="6"/>
        <v>0</v>
      </c>
      <c r="AR26" s="12">
        <f>MROUND(AR34,0.25)</f>
        <v>0</v>
      </c>
      <c r="AS26" s="12">
        <f>MROUND(AS34,0.25)</f>
        <v>0</v>
      </c>
      <c r="AT26" s="12">
        <f>RANK(AQ26, $AQ$4:$AQ$33) + COUNTIF($AQ$4:AQ26, AQ26) - 1</f>
        <v>23</v>
      </c>
      <c r="AU26" s="19">
        <f>ROUND(((G26+M26+S26+Y26+AE26+AK26+AQ26)/B35),2)</f>
        <v>0</v>
      </c>
      <c r="AV26" s="20">
        <f>RANK(AU26, $AU$4:$AU$33) + COUNTIF($AU$4:AU26, AU26) - 1</f>
        <v>23</v>
      </c>
    </row>
    <row r="27" spans="1:48" ht="21" customHeight="1" x14ac:dyDescent="0.25">
      <c r="A27" s="2">
        <v>24</v>
      </c>
      <c r="B27" s="27"/>
      <c r="C27" s="27"/>
      <c r="D27" s="20"/>
      <c r="E27" s="12"/>
      <c r="F27" s="12"/>
      <c r="G27" s="12">
        <f t="shared" si="0"/>
        <v>0</v>
      </c>
      <c r="H27" s="13">
        <f>MROUND(H34,0.25)</f>
        <v>0</v>
      </c>
      <c r="I27" s="12">
        <f>MROUND(I34,0.25)</f>
        <v>0</v>
      </c>
      <c r="J27" s="12">
        <f>RANK(G27, $G$4:$G$33) + COUNTIF($G$4:G27, G27) - 1</f>
        <v>24</v>
      </c>
      <c r="K27" s="14"/>
      <c r="L27" s="14"/>
      <c r="M27" s="14">
        <f t="shared" si="1"/>
        <v>0</v>
      </c>
      <c r="N27" s="14">
        <f>MROUND(N34,0.25)</f>
        <v>0</v>
      </c>
      <c r="O27" s="14">
        <f>MROUND(O34,0.25)</f>
        <v>0</v>
      </c>
      <c r="P27" s="14">
        <f>RANK(M27, $M$4:$M$33) + COUNTIF($M$4:M27, M27) - 1</f>
        <v>24</v>
      </c>
      <c r="Q27" s="15"/>
      <c r="R27" s="15"/>
      <c r="S27" s="15">
        <f t="shared" si="2"/>
        <v>0</v>
      </c>
      <c r="T27" s="15">
        <f>MROUND(T34,0.25)</f>
        <v>0</v>
      </c>
      <c r="U27" s="15">
        <f>MROUND(U34,0.25)</f>
        <v>0</v>
      </c>
      <c r="V27" s="15">
        <f>RANK(S27, $S$4:$S$33) + COUNTIF($S$4:S27, S27) - 1</f>
        <v>24</v>
      </c>
      <c r="W27" s="16"/>
      <c r="X27" s="16"/>
      <c r="Y27" s="16">
        <f t="shared" si="3"/>
        <v>0</v>
      </c>
      <c r="Z27" s="16">
        <f>MROUND(Z34,0.25)</f>
        <v>0</v>
      </c>
      <c r="AA27" s="16">
        <f>MROUND(AA34,0.25)</f>
        <v>0</v>
      </c>
      <c r="AB27" s="16">
        <f>RANK(Y27, $Y$4:$Y$33) + COUNTIF($Y$4:Y27, Y27) - 1</f>
        <v>24</v>
      </c>
      <c r="AC27" s="17"/>
      <c r="AD27" s="17"/>
      <c r="AE27" s="17">
        <f t="shared" si="4"/>
        <v>0</v>
      </c>
      <c r="AF27" s="17">
        <f>MROUND(AF34,0.25)</f>
        <v>0</v>
      </c>
      <c r="AG27" s="17">
        <f>MROUND(AG34,0.25)</f>
        <v>0</v>
      </c>
      <c r="AH27" s="17">
        <f>RANK(AE27, $AE$4:$AE$33) + COUNTIF($AE$4:AE27, AE27) - 1</f>
        <v>24</v>
      </c>
      <c r="AI27" s="16"/>
      <c r="AJ27" s="16"/>
      <c r="AK27" s="18">
        <f t="shared" si="5"/>
        <v>0</v>
      </c>
      <c r="AL27" s="16">
        <f>MROUND(AL34,0.25)</f>
        <v>0</v>
      </c>
      <c r="AM27" s="16">
        <f>MROUND(AM34,0.25)</f>
        <v>0</v>
      </c>
      <c r="AN27" s="16">
        <f>RANK(AK27, $AK$4:$AK$33) + COUNTIF($AK$4:AK27, AK27) - 1</f>
        <v>24</v>
      </c>
      <c r="AO27" s="12"/>
      <c r="AP27" s="12"/>
      <c r="AQ27" s="12">
        <f t="shared" si="6"/>
        <v>0</v>
      </c>
      <c r="AR27" s="12">
        <f>MROUND(AR34,0.25)</f>
        <v>0</v>
      </c>
      <c r="AS27" s="12">
        <f>MROUND(AS34,0.25)</f>
        <v>0</v>
      </c>
      <c r="AT27" s="12">
        <f>RANK(AQ27, $AQ$4:$AQ$33) + COUNTIF($AQ$4:AQ27, AQ27) - 1</f>
        <v>24</v>
      </c>
      <c r="AU27" s="19">
        <f>ROUND(((G27+M27+S27+Y27+AE27+AK27+AQ27)/B35),2)</f>
        <v>0</v>
      </c>
      <c r="AV27" s="20">
        <f>RANK(AU27, $AU$4:$AU$33) + COUNTIF($AU$4:AU27, AU27) - 1</f>
        <v>24</v>
      </c>
    </row>
    <row r="28" spans="1:48" ht="21" customHeight="1" x14ac:dyDescent="0.25">
      <c r="A28" s="2">
        <v>25</v>
      </c>
      <c r="B28" s="27"/>
      <c r="C28" s="27"/>
      <c r="D28" s="20"/>
      <c r="E28" s="12"/>
      <c r="F28" s="12"/>
      <c r="G28" s="12">
        <f t="shared" si="0"/>
        <v>0</v>
      </c>
      <c r="H28" s="13">
        <f>MROUND(H34,0.25)</f>
        <v>0</v>
      </c>
      <c r="I28" s="12">
        <f>MROUND(I34,0.25)</f>
        <v>0</v>
      </c>
      <c r="J28" s="12">
        <f>RANK(G28, $G$4:$G$33) + COUNTIF($G$4:G28, G28) - 1</f>
        <v>25</v>
      </c>
      <c r="K28" s="14"/>
      <c r="L28" s="14"/>
      <c r="M28" s="14">
        <f t="shared" si="1"/>
        <v>0</v>
      </c>
      <c r="N28" s="14">
        <f>MROUND(N34,0.25)</f>
        <v>0</v>
      </c>
      <c r="O28" s="14">
        <f>MROUND(O34,0.25)</f>
        <v>0</v>
      </c>
      <c r="P28" s="14">
        <f>RANK(M28, $M$4:$M$33) + COUNTIF($M$4:M28, M28) - 1</f>
        <v>25</v>
      </c>
      <c r="Q28" s="15"/>
      <c r="R28" s="15"/>
      <c r="S28" s="15">
        <f t="shared" si="2"/>
        <v>0</v>
      </c>
      <c r="T28" s="15">
        <f>MROUND(T34,0.25)</f>
        <v>0</v>
      </c>
      <c r="U28" s="15">
        <f>MROUND(U34,0.25)</f>
        <v>0</v>
      </c>
      <c r="V28" s="15">
        <f>RANK(S28, $S$4:$S$33) + COUNTIF($S$4:S28, S28) - 1</f>
        <v>25</v>
      </c>
      <c r="W28" s="16"/>
      <c r="X28" s="16"/>
      <c r="Y28" s="16">
        <f t="shared" si="3"/>
        <v>0</v>
      </c>
      <c r="Z28" s="16">
        <f>MROUND(Z34,0.25)</f>
        <v>0</v>
      </c>
      <c r="AA28" s="16">
        <f>MROUND(AA34,0.25)</f>
        <v>0</v>
      </c>
      <c r="AB28" s="16">
        <f>RANK(Y28, $Y$4:$Y$33) + COUNTIF($Y$4:Y28, Y28) - 1</f>
        <v>25</v>
      </c>
      <c r="AC28" s="17"/>
      <c r="AD28" s="17"/>
      <c r="AE28" s="17">
        <f t="shared" si="4"/>
        <v>0</v>
      </c>
      <c r="AF28" s="17">
        <f>MROUND(AF34,0.25)</f>
        <v>0</v>
      </c>
      <c r="AG28" s="17">
        <f>MROUND(AG34,0.25)</f>
        <v>0</v>
      </c>
      <c r="AH28" s="17">
        <f>RANK(AE28, $AE$4:$AE$33) + COUNTIF($AE$4:AE28, AE28) - 1</f>
        <v>25</v>
      </c>
      <c r="AI28" s="16"/>
      <c r="AJ28" s="16"/>
      <c r="AK28" s="18">
        <f t="shared" si="5"/>
        <v>0</v>
      </c>
      <c r="AL28" s="16">
        <f>MROUND(AL34,0.25)</f>
        <v>0</v>
      </c>
      <c r="AM28" s="16">
        <f>MROUND(AM34,0.25)</f>
        <v>0</v>
      </c>
      <c r="AN28" s="16">
        <f>RANK(AK28, $AK$4:$AK$33) + COUNTIF($AK$4:AK28, AK28) - 1</f>
        <v>25</v>
      </c>
      <c r="AO28" s="12"/>
      <c r="AP28" s="12"/>
      <c r="AQ28" s="12">
        <f t="shared" si="6"/>
        <v>0</v>
      </c>
      <c r="AR28" s="12">
        <f>MROUND(AR34,0.25)</f>
        <v>0</v>
      </c>
      <c r="AS28" s="12">
        <f>MROUND(AS34,0.25)</f>
        <v>0</v>
      </c>
      <c r="AT28" s="12">
        <f>RANK(AQ28, $AQ$4:$AQ$33) + COUNTIF($AQ$4:AQ28, AQ28) - 1</f>
        <v>25</v>
      </c>
      <c r="AU28" s="19">
        <f>ROUND(((G28+M28+S28+Y28+AE28+AK28+AQ28)/B35),2)</f>
        <v>0</v>
      </c>
      <c r="AV28" s="20">
        <f>RANK(AU28, $AU$4:$AU$33) + COUNTIF($AU$4:AU28, AU28) - 1</f>
        <v>25</v>
      </c>
    </row>
    <row r="29" spans="1:48" ht="21" customHeight="1" x14ac:dyDescent="0.25">
      <c r="A29" s="2">
        <v>26</v>
      </c>
      <c r="B29" s="27"/>
      <c r="C29" s="27"/>
      <c r="D29" s="20"/>
      <c r="E29" s="12"/>
      <c r="F29" s="12"/>
      <c r="G29" s="12">
        <f t="shared" si="0"/>
        <v>0</v>
      </c>
      <c r="H29" s="13">
        <f>MROUND(H34,0.25)</f>
        <v>0</v>
      </c>
      <c r="I29" s="12">
        <f>MROUND(I34,0.25)</f>
        <v>0</v>
      </c>
      <c r="J29" s="12">
        <f>RANK(G29, $G$4:$G$33) + COUNTIF($G$4:G29, G29) - 1</f>
        <v>26</v>
      </c>
      <c r="K29" s="14"/>
      <c r="L29" s="14"/>
      <c r="M29" s="14">
        <f t="shared" si="1"/>
        <v>0</v>
      </c>
      <c r="N29" s="14">
        <f>MROUND(N34,0.25)</f>
        <v>0</v>
      </c>
      <c r="O29" s="14">
        <f>MROUND(O34,0.25)</f>
        <v>0</v>
      </c>
      <c r="P29" s="14">
        <f>RANK(M29, $M$4:$M$33) + COUNTIF($M$4:M29, M29) - 1</f>
        <v>26</v>
      </c>
      <c r="Q29" s="15"/>
      <c r="R29" s="15"/>
      <c r="S29" s="15">
        <f t="shared" si="2"/>
        <v>0</v>
      </c>
      <c r="T29" s="15">
        <f>MROUND(T34,0.25)</f>
        <v>0</v>
      </c>
      <c r="U29" s="15">
        <f>MROUND(U34,0.25)</f>
        <v>0</v>
      </c>
      <c r="V29" s="15">
        <f>RANK(S29, $S$4:$S$33) + COUNTIF($S$4:S29, S29) - 1</f>
        <v>26</v>
      </c>
      <c r="W29" s="16"/>
      <c r="X29" s="16"/>
      <c r="Y29" s="16">
        <f t="shared" si="3"/>
        <v>0</v>
      </c>
      <c r="Z29" s="16">
        <f>MROUND(Z34,0.25)</f>
        <v>0</v>
      </c>
      <c r="AA29" s="16">
        <f>MROUND(AA34,0.25)</f>
        <v>0</v>
      </c>
      <c r="AB29" s="16">
        <f>RANK(Y29, $Y$4:$Y$33) + COUNTIF($Y$4:Y29, Y29) - 1</f>
        <v>26</v>
      </c>
      <c r="AC29" s="17"/>
      <c r="AD29" s="17"/>
      <c r="AE29" s="17">
        <f t="shared" si="4"/>
        <v>0</v>
      </c>
      <c r="AF29" s="17">
        <f>MROUND(AF34,0.25)</f>
        <v>0</v>
      </c>
      <c r="AG29" s="17">
        <f>MROUND(AG34,0.25)</f>
        <v>0</v>
      </c>
      <c r="AH29" s="17">
        <f>RANK(AE29, $AE$4:$AE$33) + COUNTIF($AE$4:AE29, AE29) - 1</f>
        <v>26</v>
      </c>
      <c r="AI29" s="16"/>
      <c r="AJ29" s="16"/>
      <c r="AK29" s="18">
        <f t="shared" si="5"/>
        <v>0</v>
      </c>
      <c r="AL29" s="16">
        <f>MROUND(AL34,0.25)</f>
        <v>0</v>
      </c>
      <c r="AM29" s="16">
        <f>MROUND(AM34,0.25)</f>
        <v>0</v>
      </c>
      <c r="AN29" s="16">
        <f>RANK(AK29, $AK$4:$AK$33) + COUNTIF($AK$4:AK29, AK29) - 1</f>
        <v>26</v>
      </c>
      <c r="AO29" s="12"/>
      <c r="AP29" s="12"/>
      <c r="AQ29" s="12">
        <f t="shared" si="6"/>
        <v>0</v>
      </c>
      <c r="AR29" s="12">
        <f>MROUND(AR34,0.25)</f>
        <v>0</v>
      </c>
      <c r="AS29" s="12">
        <f>MROUND(AS34,0.25)</f>
        <v>0</v>
      </c>
      <c r="AT29" s="12">
        <f>RANK(AQ29, $AQ$4:$AQ$33) + COUNTIF($AQ$4:AQ29, AQ29) - 1</f>
        <v>26</v>
      </c>
      <c r="AU29" s="19">
        <f>ROUND(((G29+M29+S29+Y29+AE29+AK29+AQ29)/B35),2)</f>
        <v>0</v>
      </c>
      <c r="AV29" s="20">
        <f>RANK(AU29, $AU$4:$AU$33) + COUNTIF($AU$4:AU29, AU29) - 1</f>
        <v>26</v>
      </c>
    </row>
    <row r="30" spans="1:48" ht="21" customHeight="1" x14ac:dyDescent="0.25">
      <c r="A30" s="2">
        <v>27</v>
      </c>
      <c r="B30" s="27"/>
      <c r="C30" s="27"/>
      <c r="D30" s="20"/>
      <c r="E30" s="12"/>
      <c r="F30" s="12"/>
      <c r="G30" s="12">
        <f t="shared" si="0"/>
        <v>0</v>
      </c>
      <c r="H30" s="13">
        <f>MROUND(H34,0.25)</f>
        <v>0</v>
      </c>
      <c r="I30" s="12">
        <f>MROUND(I34,0.25)</f>
        <v>0</v>
      </c>
      <c r="J30" s="12">
        <f>RANK(G30, $G$4:$G$33) + COUNTIF($G$4:G30, G30) - 1</f>
        <v>27</v>
      </c>
      <c r="K30" s="14"/>
      <c r="L30" s="14"/>
      <c r="M30" s="14">
        <f t="shared" si="1"/>
        <v>0</v>
      </c>
      <c r="N30" s="14">
        <f>MROUND(N34,0.25)</f>
        <v>0</v>
      </c>
      <c r="O30" s="14">
        <f>MROUND(O34,0.25)</f>
        <v>0</v>
      </c>
      <c r="P30" s="14">
        <f>RANK(M30, $M$4:$M$33) + COUNTIF($M$4:M30, M30) - 1</f>
        <v>27</v>
      </c>
      <c r="Q30" s="15"/>
      <c r="R30" s="15"/>
      <c r="S30" s="15">
        <f t="shared" si="2"/>
        <v>0</v>
      </c>
      <c r="T30" s="15">
        <f>MROUND(T34,0.25)</f>
        <v>0</v>
      </c>
      <c r="U30" s="15">
        <f>MROUND(U34,0.25)</f>
        <v>0</v>
      </c>
      <c r="V30" s="15">
        <f>RANK(S30, $S$4:$S$33) + COUNTIF($S$4:S30, S30) - 1</f>
        <v>27</v>
      </c>
      <c r="W30" s="16"/>
      <c r="X30" s="16"/>
      <c r="Y30" s="16">
        <f t="shared" si="3"/>
        <v>0</v>
      </c>
      <c r="Z30" s="16">
        <f>MROUND(Z34,0.25)</f>
        <v>0</v>
      </c>
      <c r="AA30" s="16">
        <f>MROUND(AA34,0.25)</f>
        <v>0</v>
      </c>
      <c r="AB30" s="16">
        <f>RANK(Y30, $Y$4:$Y$33) + COUNTIF($Y$4:Y30, Y30) - 1</f>
        <v>27</v>
      </c>
      <c r="AC30" s="17"/>
      <c r="AD30" s="17"/>
      <c r="AE30" s="17">
        <f t="shared" si="4"/>
        <v>0</v>
      </c>
      <c r="AF30" s="17">
        <f>MROUND(AF34,0.25)</f>
        <v>0</v>
      </c>
      <c r="AG30" s="17">
        <f>MROUND(AG34,0.25)</f>
        <v>0</v>
      </c>
      <c r="AH30" s="17">
        <f>RANK(AE30, $AE$4:$AE$33) + COUNTIF($AE$4:AE30, AE30) - 1</f>
        <v>27</v>
      </c>
      <c r="AI30" s="16"/>
      <c r="AJ30" s="16"/>
      <c r="AK30" s="18">
        <f t="shared" si="5"/>
        <v>0</v>
      </c>
      <c r="AL30" s="16">
        <f>MROUND(AL34,0.25)</f>
        <v>0</v>
      </c>
      <c r="AM30" s="16">
        <f>MROUND(AM34,0.25)</f>
        <v>0</v>
      </c>
      <c r="AN30" s="16">
        <f>RANK(AK30, $AK$4:$AK$33) + COUNTIF($AK$4:AK30, AK30) - 1</f>
        <v>27</v>
      </c>
      <c r="AO30" s="12"/>
      <c r="AP30" s="12"/>
      <c r="AQ30" s="12">
        <f t="shared" si="6"/>
        <v>0</v>
      </c>
      <c r="AR30" s="12">
        <f>MROUND(AR34,0.25)</f>
        <v>0</v>
      </c>
      <c r="AS30" s="12">
        <f>MROUND(AS34,0.25)</f>
        <v>0</v>
      </c>
      <c r="AT30" s="12">
        <f>RANK(AQ30, $AQ$4:$AQ$33) + COUNTIF($AQ$4:AQ30, AQ30) - 1</f>
        <v>27</v>
      </c>
      <c r="AU30" s="19">
        <f>ROUND(((G30+M30+S30+Y30+AE30+AK30+AQ30)/B35),2)</f>
        <v>0</v>
      </c>
      <c r="AV30" s="20">
        <f>RANK(AU30, $AU$4:$AU$33) + COUNTIF($AU$4:AU30, AU30) - 1</f>
        <v>27</v>
      </c>
    </row>
    <row r="31" spans="1:48" ht="21" customHeight="1" x14ac:dyDescent="0.25">
      <c r="A31" s="2">
        <v>28</v>
      </c>
      <c r="B31" s="27"/>
      <c r="C31" s="27"/>
      <c r="D31" s="20"/>
      <c r="E31" s="12"/>
      <c r="F31" s="12"/>
      <c r="G31" s="12">
        <f t="shared" si="0"/>
        <v>0</v>
      </c>
      <c r="H31" s="13">
        <f>MROUND(H34,0.25)</f>
        <v>0</v>
      </c>
      <c r="I31" s="12">
        <f>MROUND(I34,0.25)</f>
        <v>0</v>
      </c>
      <c r="J31" s="12">
        <f>RANK(G31, $G$4:$G$33) + COUNTIF($G$4:G31, G31) - 1</f>
        <v>28</v>
      </c>
      <c r="K31" s="14"/>
      <c r="L31" s="14"/>
      <c r="M31" s="14">
        <f t="shared" si="1"/>
        <v>0</v>
      </c>
      <c r="N31" s="14">
        <f>MROUND(N34,0.25)</f>
        <v>0</v>
      </c>
      <c r="O31" s="14">
        <f>MROUND(O34,0.25)</f>
        <v>0</v>
      </c>
      <c r="P31" s="14">
        <f>RANK(M31, $M$4:$M$33) + COUNTIF($M$4:M31, M31) - 1</f>
        <v>28</v>
      </c>
      <c r="Q31" s="15"/>
      <c r="R31" s="15"/>
      <c r="S31" s="15">
        <f t="shared" si="2"/>
        <v>0</v>
      </c>
      <c r="T31" s="15">
        <f>MROUND(T34,0.25)</f>
        <v>0</v>
      </c>
      <c r="U31" s="15">
        <f>MROUND(U34,0.25)</f>
        <v>0</v>
      </c>
      <c r="V31" s="15">
        <f>RANK(S31, $S$4:$S$33) + COUNTIF($S$4:S31, S31) - 1</f>
        <v>28</v>
      </c>
      <c r="W31" s="16"/>
      <c r="X31" s="16"/>
      <c r="Y31" s="16">
        <f t="shared" si="3"/>
        <v>0</v>
      </c>
      <c r="Z31" s="16">
        <f>MROUND(Z34,0.25)</f>
        <v>0</v>
      </c>
      <c r="AA31" s="16">
        <f>MROUND(AA34,0.25)</f>
        <v>0</v>
      </c>
      <c r="AB31" s="16">
        <f>RANK(Y31, $Y$4:$Y$33) + COUNTIF($Y$4:Y31, Y31) - 1</f>
        <v>28</v>
      </c>
      <c r="AC31" s="17"/>
      <c r="AD31" s="17"/>
      <c r="AE31" s="17">
        <f t="shared" si="4"/>
        <v>0</v>
      </c>
      <c r="AF31" s="17">
        <f>MROUND(AF34,0.25)</f>
        <v>0</v>
      </c>
      <c r="AG31" s="17">
        <f>MROUND(AG34,0.25)</f>
        <v>0</v>
      </c>
      <c r="AH31" s="17">
        <f>RANK(AE31, $AE$4:$AE$33) + COUNTIF($AE$4:AE31, AE31) - 1</f>
        <v>28</v>
      </c>
      <c r="AI31" s="16"/>
      <c r="AJ31" s="16"/>
      <c r="AK31" s="18">
        <f t="shared" si="5"/>
        <v>0</v>
      </c>
      <c r="AL31" s="16">
        <f>MROUND(AL34,0.25)</f>
        <v>0</v>
      </c>
      <c r="AM31" s="16">
        <f>MROUND(AM34,0.25)</f>
        <v>0</v>
      </c>
      <c r="AN31" s="16">
        <f>RANK(AK31, $AK$4:$AK$33) + COUNTIF($AK$4:AK31, AK31) - 1</f>
        <v>28</v>
      </c>
      <c r="AO31" s="12"/>
      <c r="AP31" s="12"/>
      <c r="AQ31" s="12">
        <f t="shared" si="6"/>
        <v>0</v>
      </c>
      <c r="AR31" s="12">
        <f>MROUND(AR34,0.25)</f>
        <v>0</v>
      </c>
      <c r="AS31" s="12">
        <f>MROUND(AS34,0.25)</f>
        <v>0</v>
      </c>
      <c r="AT31" s="12">
        <f>RANK(AQ31, $AQ$4:$AQ$33) + COUNTIF($AQ$4:AQ31, AQ31) - 1</f>
        <v>28</v>
      </c>
      <c r="AU31" s="19">
        <f>ROUND(((G31+M31+S31+Y31+AE31+AK31+AQ31)/B35),2)</f>
        <v>0</v>
      </c>
      <c r="AV31" s="20">
        <f>RANK(AU31, $AU$4:$AU$33) + COUNTIF($AU$4:AU31, AU31) - 1</f>
        <v>28</v>
      </c>
    </row>
    <row r="32" spans="1:48" ht="21" customHeight="1" x14ac:dyDescent="0.25">
      <c r="A32" s="2">
        <v>29</v>
      </c>
      <c r="B32" s="27"/>
      <c r="C32" s="27"/>
      <c r="D32" s="20"/>
      <c r="E32" s="12"/>
      <c r="F32" s="12"/>
      <c r="G32" s="12">
        <f t="shared" si="0"/>
        <v>0</v>
      </c>
      <c r="H32" s="13">
        <f>MROUND(H34,0.25)</f>
        <v>0</v>
      </c>
      <c r="I32" s="12">
        <f>MROUND(I34,0.25)</f>
        <v>0</v>
      </c>
      <c r="J32" s="12">
        <f>RANK(G32, $G$4:$G$33) + COUNTIF($G$4:G32, G32) - 1</f>
        <v>29</v>
      </c>
      <c r="K32" s="14"/>
      <c r="L32" s="14"/>
      <c r="M32" s="14">
        <f t="shared" si="1"/>
        <v>0</v>
      </c>
      <c r="N32" s="14">
        <f>MROUND(N34,0.25)</f>
        <v>0</v>
      </c>
      <c r="O32" s="14">
        <f>MROUND(O34,0.25)</f>
        <v>0</v>
      </c>
      <c r="P32" s="14">
        <f>RANK(M32, $M$4:$M$33) + COUNTIF($M$4:M32, M32) - 1</f>
        <v>29</v>
      </c>
      <c r="Q32" s="15"/>
      <c r="R32" s="15"/>
      <c r="S32" s="15">
        <f t="shared" si="2"/>
        <v>0</v>
      </c>
      <c r="T32" s="15">
        <f>MROUND(T34,0.25)</f>
        <v>0</v>
      </c>
      <c r="U32" s="15">
        <f>MROUND(U34,0.25)</f>
        <v>0</v>
      </c>
      <c r="V32" s="15">
        <f>RANK(S32, $S$4:$S$33) + COUNTIF($S$4:S32, S32) - 1</f>
        <v>29</v>
      </c>
      <c r="W32" s="16"/>
      <c r="X32" s="16"/>
      <c r="Y32" s="16">
        <f t="shared" si="3"/>
        <v>0</v>
      </c>
      <c r="Z32" s="16">
        <f>MROUND(Z34,0.25)</f>
        <v>0</v>
      </c>
      <c r="AA32" s="16">
        <f>MROUND(AA34,0.25)</f>
        <v>0</v>
      </c>
      <c r="AB32" s="16">
        <f>RANK(Y32, $Y$4:$Y$33) + COUNTIF($Y$4:Y32, Y32) - 1</f>
        <v>29</v>
      </c>
      <c r="AC32" s="17"/>
      <c r="AD32" s="17"/>
      <c r="AE32" s="17">
        <f t="shared" si="4"/>
        <v>0</v>
      </c>
      <c r="AF32" s="17">
        <f>MROUND(AF34,0.25)</f>
        <v>0</v>
      </c>
      <c r="AG32" s="17">
        <f>MROUND(AG34,0.25)</f>
        <v>0</v>
      </c>
      <c r="AH32" s="17">
        <f>RANK(AE32, $AE$4:$AE$33) + COUNTIF($AE$4:AE32, AE32) - 1</f>
        <v>29</v>
      </c>
      <c r="AI32" s="16"/>
      <c r="AJ32" s="16"/>
      <c r="AK32" s="18">
        <f t="shared" si="5"/>
        <v>0</v>
      </c>
      <c r="AL32" s="16">
        <f>MROUND(AL34,0.25)</f>
        <v>0</v>
      </c>
      <c r="AM32" s="16">
        <f>MROUND(AM34,0.25)</f>
        <v>0</v>
      </c>
      <c r="AN32" s="16">
        <f>RANK(AK32, $AK$4:$AK$33) + COUNTIF($AK$4:AK32, AK32) - 1</f>
        <v>29</v>
      </c>
      <c r="AO32" s="12"/>
      <c r="AP32" s="12"/>
      <c r="AQ32" s="12">
        <f t="shared" si="6"/>
        <v>0</v>
      </c>
      <c r="AR32" s="12">
        <f>MROUND(AR34,0.25)</f>
        <v>0</v>
      </c>
      <c r="AS32" s="12">
        <f>MROUND(AS34,0.25)</f>
        <v>0</v>
      </c>
      <c r="AT32" s="12">
        <f>RANK(AQ32, $AQ$4:$AQ$33) + COUNTIF($AQ$4:AQ32, AQ32) - 1</f>
        <v>29</v>
      </c>
      <c r="AU32" s="19">
        <f>ROUND(((G32+M32+S32+Y32+AE32+AK32+AQ32)/B35),2)</f>
        <v>0</v>
      </c>
      <c r="AV32" s="20">
        <f>RANK(AU32, $AU$4:$AU$33) + COUNTIF($AU$4:AU32, AU32) - 1</f>
        <v>29</v>
      </c>
    </row>
    <row r="33" spans="1:48" ht="21" customHeight="1" x14ac:dyDescent="0.25">
      <c r="A33" s="2">
        <v>30</v>
      </c>
      <c r="B33" s="27"/>
      <c r="C33" s="27"/>
      <c r="D33" s="20"/>
      <c r="E33" s="12"/>
      <c r="F33" s="12"/>
      <c r="G33" s="12">
        <f t="shared" si="0"/>
        <v>0</v>
      </c>
      <c r="H33" s="13">
        <f>MROUND(H34,0.25)</f>
        <v>0</v>
      </c>
      <c r="I33" s="12">
        <f>MROUND(I34,0.25)</f>
        <v>0</v>
      </c>
      <c r="J33" s="12">
        <f>RANK(G33, $G$4:$G$33) + COUNTIF($G$4:G33, G33) - 1</f>
        <v>30</v>
      </c>
      <c r="K33" s="14"/>
      <c r="L33" s="14"/>
      <c r="M33" s="14">
        <f t="shared" si="1"/>
        <v>0</v>
      </c>
      <c r="N33" s="14">
        <f>MROUND(N34,0.25)</f>
        <v>0</v>
      </c>
      <c r="O33" s="14">
        <f>MROUND(O34,0.25)</f>
        <v>0</v>
      </c>
      <c r="P33" s="14">
        <f>RANK(M33, $M$4:$M$33) + COUNTIF($M$4:M33, M33) - 1</f>
        <v>30</v>
      </c>
      <c r="Q33" s="15"/>
      <c r="R33" s="15"/>
      <c r="S33" s="15">
        <f t="shared" si="2"/>
        <v>0</v>
      </c>
      <c r="T33" s="15">
        <f>MROUND(T34,0.25)</f>
        <v>0</v>
      </c>
      <c r="U33" s="15">
        <f>MROUND(U34,0.25)</f>
        <v>0</v>
      </c>
      <c r="V33" s="15">
        <f>RANK(S33, $S$4:$S$33) + COUNTIF($S$4:S33, S33) - 1</f>
        <v>30</v>
      </c>
      <c r="W33" s="16"/>
      <c r="X33" s="16"/>
      <c r="Y33" s="16">
        <f t="shared" si="3"/>
        <v>0</v>
      </c>
      <c r="Z33" s="16">
        <f>MROUND(Z34,0.25)</f>
        <v>0</v>
      </c>
      <c r="AA33" s="16">
        <f>MROUND(AA34,0.25)</f>
        <v>0</v>
      </c>
      <c r="AB33" s="16">
        <f>RANK(Y33, $Y$4:$Y$33) + COUNTIF($Y$4:Y33, Y33) - 1</f>
        <v>30</v>
      </c>
      <c r="AC33" s="17"/>
      <c r="AD33" s="17"/>
      <c r="AE33" s="17">
        <f t="shared" si="4"/>
        <v>0</v>
      </c>
      <c r="AF33" s="17">
        <f>MROUND(AF34,0.25)</f>
        <v>0</v>
      </c>
      <c r="AG33" s="17">
        <f>MROUND(AG34,0.25)</f>
        <v>0</v>
      </c>
      <c r="AH33" s="17">
        <f>RANK(AE33, $AE$4:$AE$33) + COUNTIF($AE$4:AE33, AE33) - 1</f>
        <v>30</v>
      </c>
      <c r="AI33" s="16"/>
      <c r="AJ33" s="16"/>
      <c r="AK33" s="18">
        <f t="shared" si="5"/>
        <v>0</v>
      </c>
      <c r="AL33" s="16">
        <f>MROUND(AL34,0.25)</f>
        <v>0</v>
      </c>
      <c r="AM33" s="16">
        <f>MROUND(AM34,0.25)</f>
        <v>0</v>
      </c>
      <c r="AN33" s="16">
        <f>RANK(AK33, $AK$4:$AK$33) + COUNTIF($AK$4:AK33, AK33) - 1</f>
        <v>30</v>
      </c>
      <c r="AO33" s="12"/>
      <c r="AP33" s="12"/>
      <c r="AQ33" s="12">
        <f t="shared" si="6"/>
        <v>0</v>
      </c>
      <c r="AR33" s="12">
        <f>MROUND(AR34,0.25)</f>
        <v>0</v>
      </c>
      <c r="AS33" s="12">
        <f>MROUND(AS34,0.25)</f>
        <v>0</v>
      </c>
      <c r="AT33" s="12">
        <f>RANK(AQ33, $AQ$4:$AQ$33) + COUNTIF($AQ$4:AQ33, AQ33) - 1</f>
        <v>30</v>
      </c>
      <c r="AU33" s="19">
        <f>ROUND(((G33+M33+S33+Y33+AE33+AK33+AQ33)/B35),2)</f>
        <v>0</v>
      </c>
      <c r="AV33" s="20">
        <f>RANK(AU33, $AU$4:$AU$33) + COUNTIF($AU$4:AU33, AU33) - 1</f>
        <v>30</v>
      </c>
    </row>
    <row r="34" spans="1:48" s="10" customFormat="1" ht="26.25" x14ac:dyDescent="0.25">
      <c r="A34" s="2" t="s">
        <v>14</v>
      </c>
      <c r="B34" s="9">
        <v>28</v>
      </c>
      <c r="C34" s="9"/>
      <c r="E34" s="11">
        <f>SUM(E4:E33)</f>
        <v>0</v>
      </c>
      <c r="F34" s="11">
        <f>SUM(F4:F33)</f>
        <v>0</v>
      </c>
      <c r="H34" s="11">
        <f>E34/B34</f>
        <v>0</v>
      </c>
      <c r="I34" s="11">
        <f>F34/B34</f>
        <v>0</v>
      </c>
      <c r="K34" s="11">
        <f>SUM(K4:K33)</f>
        <v>0</v>
      </c>
      <c r="L34" s="11">
        <f>SUM(L4:L33)</f>
        <v>0</v>
      </c>
      <c r="N34" s="11">
        <f>K34/B34</f>
        <v>0</v>
      </c>
      <c r="O34" s="11">
        <f>L34/B34</f>
        <v>0</v>
      </c>
      <c r="Q34" s="11">
        <f>SUM(Q4:Q33)</f>
        <v>0</v>
      </c>
      <c r="R34" s="11">
        <f>SUM(R4:R33)</f>
        <v>0</v>
      </c>
      <c r="T34" s="11">
        <f>Q34/B34</f>
        <v>0</v>
      </c>
      <c r="U34" s="11">
        <f>R34/B34</f>
        <v>0</v>
      </c>
      <c r="W34" s="11">
        <f>SUM(W4:W33)</f>
        <v>0</v>
      </c>
      <c r="X34" s="11">
        <f>SUM(X4:X33)</f>
        <v>0</v>
      </c>
      <c r="Z34" s="11">
        <f>W34/B34</f>
        <v>0</v>
      </c>
      <c r="AA34" s="11">
        <f>X34/B34</f>
        <v>0</v>
      </c>
      <c r="AC34" s="11">
        <f>SUM(AC4:AC33)</f>
        <v>0</v>
      </c>
      <c r="AD34" s="11">
        <f>SUM(AD4:AD33)</f>
        <v>0</v>
      </c>
      <c r="AF34" s="11">
        <f>AC34/B34</f>
        <v>0</v>
      </c>
      <c r="AG34" s="11">
        <f>AD34/B34</f>
        <v>0</v>
      </c>
      <c r="AI34" s="11">
        <f>SUM(AI4:AI33)</f>
        <v>0</v>
      </c>
      <c r="AJ34" s="11">
        <f>SUM(AJ4:AJ33)</f>
        <v>0</v>
      </c>
      <c r="AL34" s="11">
        <f>AI34/B34</f>
        <v>0</v>
      </c>
      <c r="AM34" s="11">
        <f>AJ34/B34</f>
        <v>0</v>
      </c>
      <c r="AO34" s="11">
        <f>SUM(AO4:AO33)</f>
        <v>0</v>
      </c>
      <c r="AP34" s="11">
        <f>SUM(AP4:AP33)</f>
        <v>0</v>
      </c>
      <c r="AR34" s="11">
        <f>AO34/B34</f>
        <v>0</v>
      </c>
      <c r="AS34" s="11">
        <f>AP34/B34</f>
        <v>0</v>
      </c>
    </row>
    <row r="35" spans="1:48" ht="26.25" x14ac:dyDescent="0.25">
      <c r="A35" s="28" t="s">
        <v>17</v>
      </c>
      <c r="B35" s="11">
        <v>7</v>
      </c>
    </row>
  </sheetData>
  <mergeCells count="85">
    <mergeCell ref="AU1:AU3"/>
    <mergeCell ref="AV1:AV3"/>
    <mergeCell ref="AO1:AT1"/>
    <mergeCell ref="AO2:AO3"/>
    <mergeCell ref="AP2:AP3"/>
    <mergeCell ref="AQ2:AQ3"/>
    <mergeCell ref="AR2:AR3"/>
    <mergeCell ref="AS2:AS3"/>
    <mergeCell ref="AT2:AT3"/>
    <mergeCell ref="AN2:AN3"/>
    <mergeCell ref="AC1:AH1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B21:C21"/>
    <mergeCell ref="B22:C22"/>
    <mergeCell ref="B23:C23"/>
    <mergeCell ref="B24:C24"/>
    <mergeCell ref="B25:C25"/>
    <mergeCell ref="B31:C31"/>
    <mergeCell ref="B32:C32"/>
    <mergeCell ref="B33:C33"/>
    <mergeCell ref="B34:C34"/>
    <mergeCell ref="B26:C26"/>
    <mergeCell ref="B27:C27"/>
    <mergeCell ref="B28:C28"/>
    <mergeCell ref="B29:C29"/>
    <mergeCell ref="B30:C30"/>
    <mergeCell ref="B20:C20"/>
    <mergeCell ref="W1:AB1"/>
    <mergeCell ref="W2:W3"/>
    <mergeCell ref="X2:X3"/>
    <mergeCell ref="Y2:Y3"/>
    <mergeCell ref="Z2:Z3"/>
    <mergeCell ref="AA2:AA3"/>
    <mergeCell ref="AB2:AB3"/>
    <mergeCell ref="Q1:V1"/>
    <mergeCell ref="Q2:Q3"/>
    <mergeCell ref="R2:R3"/>
    <mergeCell ref="S2:S3"/>
    <mergeCell ref="T2:T3"/>
    <mergeCell ref="B16:C16"/>
    <mergeCell ref="B19:C19"/>
    <mergeCell ref="A1:A3"/>
    <mergeCell ref="B1:C3"/>
    <mergeCell ref="E1:J1"/>
    <mergeCell ref="E2:E3"/>
    <mergeCell ref="F2:F3"/>
    <mergeCell ref="G2:G3"/>
    <mergeCell ref="D1:D3"/>
    <mergeCell ref="H2:H3"/>
    <mergeCell ref="I2:I3"/>
    <mergeCell ref="J2:J3"/>
    <mergeCell ref="B13:C13"/>
    <mergeCell ref="B14:C14"/>
    <mergeCell ref="B15:C15"/>
    <mergeCell ref="B17:C17"/>
    <mergeCell ref="B18:C18"/>
    <mergeCell ref="B8:C8"/>
    <mergeCell ref="B9:C9"/>
    <mergeCell ref="B10:C10"/>
    <mergeCell ref="B11:C11"/>
    <mergeCell ref="B12:C12"/>
    <mergeCell ref="B4:C4"/>
    <mergeCell ref="B5:C5"/>
    <mergeCell ref="B6:C6"/>
    <mergeCell ref="B7:C7"/>
    <mergeCell ref="U2:U3"/>
    <mergeCell ref="V2:V3"/>
    <mergeCell ref="K1:P1"/>
    <mergeCell ref="K2:K3"/>
    <mergeCell ref="L2:L3"/>
    <mergeCell ref="M2:M3"/>
    <mergeCell ref="N2:N3"/>
    <mergeCell ref="O2:O3"/>
    <mergeCell ref="P2:P3"/>
    <mergeCell ref="AI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Shahbaz</dc:creator>
  <cp:lastModifiedBy>Aryan Shahbaz</cp:lastModifiedBy>
  <dcterms:created xsi:type="dcterms:W3CDTF">2024-12-04T18:30:41Z</dcterms:created>
  <dcterms:modified xsi:type="dcterms:W3CDTF">2024-12-06T13:08:39Z</dcterms:modified>
</cp:coreProperties>
</file>